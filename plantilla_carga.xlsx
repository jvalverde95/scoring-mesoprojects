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esoestetic-my.sharepoint.com/personal/jvalverde_mesoestetic_com/Documents/BRM/SCORING PROJECT/"/>
    </mc:Choice>
  </mc:AlternateContent>
  <xr:revisionPtr revIDLastSave="19" documentId="8_{785EE8B3-A26A-4B67-9DDE-AB6B587AAE1B}" xr6:coauthVersionLast="47" xr6:coauthVersionMax="47" xr10:uidLastSave="{DDD1A7EA-CA05-4EB4-9276-67C1233E5359}"/>
  <bookViews>
    <workbookView xWindow="-120" yWindow="-120" windowWidth="29040" windowHeight="15720" tabRatio="500" activeTab="2" xr2:uid="{00000000-000D-0000-FFFF-FFFF00000000}"/>
  </bookViews>
  <sheets>
    <sheet name="⚙ Parámetros" sheetId="1" r:id="rId1"/>
    <sheet name="📋 Evaluación" sheetId="2" r:id="rId2"/>
    <sheet name="📊 Carter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N29" i="3" l="1"/>
  <c r="AN12" i="3"/>
  <c r="AN14" i="3"/>
  <c r="AN17" i="3"/>
  <c r="AN18" i="3"/>
  <c r="AN19" i="3"/>
  <c r="AN20" i="3"/>
  <c r="AN21" i="3"/>
  <c r="AN22" i="3"/>
  <c r="AN24" i="3"/>
  <c r="AN25" i="3"/>
  <c r="AN26" i="3"/>
  <c r="AN30" i="3"/>
  <c r="AN31" i="3"/>
  <c r="AN32" i="3"/>
  <c r="AN33" i="3"/>
  <c r="AN34" i="3"/>
  <c r="AN35" i="3"/>
  <c r="AN38" i="3"/>
  <c r="AN39" i="3"/>
  <c r="AN42" i="3"/>
  <c r="AN43" i="3"/>
  <c r="AN44" i="3"/>
  <c r="AN45" i="3"/>
  <c r="AN46" i="3"/>
  <c r="AN47" i="3"/>
  <c r="AN49" i="3"/>
  <c r="AN50" i="3"/>
  <c r="AN53" i="3"/>
  <c r="AN54" i="3"/>
  <c r="AN55" i="3"/>
  <c r="AN56" i="3"/>
  <c r="AN57" i="3"/>
  <c r="AN58" i="3"/>
  <c r="AN59" i="3"/>
  <c r="AN60" i="3"/>
  <c r="AN62" i="3"/>
  <c r="AN63" i="3"/>
  <c r="AN66" i="3"/>
  <c r="AN67" i="3"/>
  <c r="AN68" i="3"/>
  <c r="AN69" i="3"/>
  <c r="AN70" i="3"/>
  <c r="AN71" i="3"/>
  <c r="AN72" i="3"/>
  <c r="AN73" i="3"/>
  <c r="AN74" i="3"/>
  <c r="AN75" i="3"/>
  <c r="AN78" i="3"/>
  <c r="AN80" i="3"/>
  <c r="AN82" i="3"/>
  <c r="AN83" i="3"/>
  <c r="AN84" i="3"/>
  <c r="AN85" i="3"/>
  <c r="AN86" i="3"/>
  <c r="AN87" i="3"/>
  <c r="AN91" i="3"/>
  <c r="AN92" i="3"/>
  <c r="AN93" i="3"/>
  <c r="AN94" i="3"/>
  <c r="AN95" i="3"/>
  <c r="AN97" i="3"/>
  <c r="AN98" i="3"/>
  <c r="AN102" i="3"/>
  <c r="AN103" i="3"/>
  <c r="AN104" i="3"/>
  <c r="AN105" i="3"/>
  <c r="AN106" i="3"/>
  <c r="AN107" i="3"/>
  <c r="AN108" i="3"/>
  <c r="AN109" i="3"/>
  <c r="AN110" i="3"/>
  <c r="AN111" i="3"/>
  <c r="AN113" i="3"/>
  <c r="AN114" i="3"/>
  <c r="AN115" i="3"/>
  <c r="AN116" i="3"/>
  <c r="AN117" i="3"/>
  <c r="AN118" i="3"/>
  <c r="AN119" i="3"/>
  <c r="AN120" i="3"/>
  <c r="AN121" i="3"/>
  <c r="AN122" i="3"/>
  <c r="AN123" i="3"/>
  <c r="AN126" i="3"/>
  <c r="AN127" i="3"/>
  <c r="AN128" i="3"/>
  <c r="AN129" i="3"/>
  <c r="AN130" i="3"/>
  <c r="AN131" i="3"/>
  <c r="AN132" i="3"/>
  <c r="AN133" i="3"/>
  <c r="AN134" i="3"/>
  <c r="AN135" i="3"/>
  <c r="AN137" i="3"/>
  <c r="AN138" i="3"/>
  <c r="AN139" i="3"/>
  <c r="AN10" i="3"/>
  <c r="AN65" i="3"/>
  <c r="AN77" i="3"/>
  <c r="AN79" i="3"/>
  <c r="AN81" i="3"/>
  <c r="AN89" i="3"/>
  <c r="AN125" i="3"/>
  <c r="AI139" i="3"/>
  <c r="AG139" i="3"/>
  <c r="AF139" i="3"/>
  <c r="AE139" i="3"/>
  <c r="AD139" i="3"/>
  <c r="AC139" i="3"/>
  <c r="AB139" i="3"/>
  <c r="AI138" i="3"/>
  <c r="AG138" i="3"/>
  <c r="AH138" i="3" s="1"/>
  <c r="AF138" i="3"/>
  <c r="AE138" i="3"/>
  <c r="AD138" i="3"/>
  <c r="AC138" i="3"/>
  <c r="AB138" i="3"/>
  <c r="AI137" i="3"/>
  <c r="AG137" i="3"/>
  <c r="AF137" i="3"/>
  <c r="AE137" i="3"/>
  <c r="AD137" i="3"/>
  <c r="AC137" i="3"/>
  <c r="AB137" i="3"/>
  <c r="AN136" i="3"/>
  <c r="AI136" i="3"/>
  <c r="AG136" i="3"/>
  <c r="AF136" i="3"/>
  <c r="AE136" i="3"/>
  <c r="AD136" i="3"/>
  <c r="AC136" i="3"/>
  <c r="AB136" i="3"/>
  <c r="AI135" i="3"/>
  <c r="AG135" i="3"/>
  <c r="AF135" i="3"/>
  <c r="AE135" i="3"/>
  <c r="AD135" i="3"/>
  <c r="AC135" i="3"/>
  <c r="AB135" i="3"/>
  <c r="AI134" i="3"/>
  <c r="AG134" i="3"/>
  <c r="AF134" i="3"/>
  <c r="AE134" i="3"/>
  <c r="AD134" i="3"/>
  <c r="AH134" i="3" s="1"/>
  <c r="AC134" i="3"/>
  <c r="AB134" i="3"/>
  <c r="AI133" i="3"/>
  <c r="AG133" i="3"/>
  <c r="AF133" i="3"/>
  <c r="AE133" i="3"/>
  <c r="AD133" i="3"/>
  <c r="AC133" i="3"/>
  <c r="AB133" i="3"/>
  <c r="AI132" i="3"/>
  <c r="AG132" i="3"/>
  <c r="AF132" i="3"/>
  <c r="AE132" i="3"/>
  <c r="AD132" i="3"/>
  <c r="AC132" i="3"/>
  <c r="AB132" i="3"/>
  <c r="AI131" i="3"/>
  <c r="AG131" i="3"/>
  <c r="AF131" i="3"/>
  <c r="AE131" i="3"/>
  <c r="AD131" i="3"/>
  <c r="AC131" i="3"/>
  <c r="AB131" i="3"/>
  <c r="AI130" i="3"/>
  <c r="AG130" i="3"/>
  <c r="AF130" i="3"/>
  <c r="AE130" i="3"/>
  <c r="AD130" i="3"/>
  <c r="AC130" i="3"/>
  <c r="AB130" i="3"/>
  <c r="AH130" i="3" s="1"/>
  <c r="AI129" i="3"/>
  <c r="AG129" i="3"/>
  <c r="AF129" i="3"/>
  <c r="AE129" i="3"/>
  <c r="AD129" i="3"/>
  <c r="AC129" i="3"/>
  <c r="AB129" i="3"/>
  <c r="AI128" i="3"/>
  <c r="AG128" i="3"/>
  <c r="AF128" i="3"/>
  <c r="AE128" i="3"/>
  <c r="AD128" i="3"/>
  <c r="AC128" i="3"/>
  <c r="AB128" i="3"/>
  <c r="AI127" i="3"/>
  <c r="AG127" i="3"/>
  <c r="AF127" i="3"/>
  <c r="AE127" i="3"/>
  <c r="AD127" i="3"/>
  <c r="AC127" i="3"/>
  <c r="AB127" i="3"/>
  <c r="AI126" i="3"/>
  <c r="AG126" i="3"/>
  <c r="AF126" i="3"/>
  <c r="AE126" i="3"/>
  <c r="AD126" i="3"/>
  <c r="AC126" i="3"/>
  <c r="AB126" i="3"/>
  <c r="AH126" i="3" s="1"/>
  <c r="AI125" i="3"/>
  <c r="AG125" i="3"/>
  <c r="AF125" i="3"/>
  <c r="AE125" i="3"/>
  <c r="AD125" i="3"/>
  <c r="AC125" i="3"/>
  <c r="AB125" i="3"/>
  <c r="AN124" i="3"/>
  <c r="AI124" i="3"/>
  <c r="AG124" i="3"/>
  <c r="AF124" i="3"/>
  <c r="AE124" i="3"/>
  <c r="AD124" i="3"/>
  <c r="AC124" i="3"/>
  <c r="AB124" i="3"/>
  <c r="AI123" i="3"/>
  <c r="AG123" i="3"/>
  <c r="AF123" i="3"/>
  <c r="AE123" i="3"/>
  <c r="AD123" i="3"/>
  <c r="AC123" i="3"/>
  <c r="AB123" i="3"/>
  <c r="AI122" i="3"/>
  <c r="AG122" i="3"/>
  <c r="AH122" i="3" s="1"/>
  <c r="AF122" i="3"/>
  <c r="AE122" i="3"/>
  <c r="AD122" i="3"/>
  <c r="AC122" i="3"/>
  <c r="AB122" i="3"/>
  <c r="AI121" i="3"/>
  <c r="AG121" i="3"/>
  <c r="AF121" i="3"/>
  <c r="AE121" i="3"/>
  <c r="AD121" i="3"/>
  <c r="AC121" i="3"/>
  <c r="AB121" i="3"/>
  <c r="AI120" i="3"/>
  <c r="AG120" i="3"/>
  <c r="AF120" i="3"/>
  <c r="AE120" i="3"/>
  <c r="AD120" i="3"/>
  <c r="AC120" i="3"/>
  <c r="AB120" i="3"/>
  <c r="AI119" i="3"/>
  <c r="AG119" i="3"/>
  <c r="AF119" i="3"/>
  <c r="AE119" i="3"/>
  <c r="AD119" i="3"/>
  <c r="AC119" i="3"/>
  <c r="AB119" i="3"/>
  <c r="AI118" i="3"/>
  <c r="AG118" i="3"/>
  <c r="AF118" i="3"/>
  <c r="AE118" i="3"/>
  <c r="AD118" i="3"/>
  <c r="AH118" i="3" s="1"/>
  <c r="AC118" i="3"/>
  <c r="AB118" i="3"/>
  <c r="AI117" i="3"/>
  <c r="AG117" i="3"/>
  <c r="AF117" i="3"/>
  <c r="AE117" i="3"/>
  <c r="AD117" i="3"/>
  <c r="AC117" i="3"/>
  <c r="AB117" i="3"/>
  <c r="AI116" i="3"/>
  <c r="AG116" i="3"/>
  <c r="AF116" i="3"/>
  <c r="AE116" i="3"/>
  <c r="AD116" i="3"/>
  <c r="AC116" i="3"/>
  <c r="AB116" i="3"/>
  <c r="AI115" i="3"/>
  <c r="AG115" i="3"/>
  <c r="AF115" i="3"/>
  <c r="AE115" i="3"/>
  <c r="AD115" i="3"/>
  <c r="AC115" i="3"/>
  <c r="AB115" i="3"/>
  <c r="AI114" i="3"/>
  <c r="AG114" i="3"/>
  <c r="AF114" i="3"/>
  <c r="AE114" i="3"/>
  <c r="AD114" i="3"/>
  <c r="AC114" i="3"/>
  <c r="AB114" i="3"/>
  <c r="AH114" i="3" s="1"/>
  <c r="AI113" i="3"/>
  <c r="AG113" i="3"/>
  <c r="AF113" i="3"/>
  <c r="AE113" i="3"/>
  <c r="AD113" i="3"/>
  <c r="AC113" i="3"/>
  <c r="AB113" i="3"/>
  <c r="AN112" i="3"/>
  <c r="AI112" i="3"/>
  <c r="AG112" i="3"/>
  <c r="AF112" i="3"/>
  <c r="AE112" i="3"/>
  <c r="AD112" i="3"/>
  <c r="AC112" i="3"/>
  <c r="AB112" i="3"/>
  <c r="AI111" i="3"/>
  <c r="AG111" i="3"/>
  <c r="AF111" i="3"/>
  <c r="AE111" i="3"/>
  <c r="AD111" i="3"/>
  <c r="AC111" i="3"/>
  <c r="AB111" i="3"/>
  <c r="AI110" i="3"/>
  <c r="AG110" i="3"/>
  <c r="AF110" i="3"/>
  <c r="AE110" i="3"/>
  <c r="AD110" i="3"/>
  <c r="AC110" i="3"/>
  <c r="AB110" i="3"/>
  <c r="AH110" i="3" s="1"/>
  <c r="AI109" i="3"/>
  <c r="AG109" i="3"/>
  <c r="AF109" i="3"/>
  <c r="AE109" i="3"/>
  <c r="AD109" i="3"/>
  <c r="AC109" i="3"/>
  <c r="AB109" i="3"/>
  <c r="AI108" i="3"/>
  <c r="AG108" i="3"/>
  <c r="AF108" i="3"/>
  <c r="AE108" i="3"/>
  <c r="AD108" i="3"/>
  <c r="AC108" i="3"/>
  <c r="AB108" i="3"/>
  <c r="AI107" i="3"/>
  <c r="AG107" i="3"/>
  <c r="AF107" i="3"/>
  <c r="AE107" i="3"/>
  <c r="AD107" i="3"/>
  <c r="AC107" i="3"/>
  <c r="AB107" i="3"/>
  <c r="AI106" i="3"/>
  <c r="AG106" i="3"/>
  <c r="AH106" i="3" s="1"/>
  <c r="AF106" i="3"/>
  <c r="AE106" i="3"/>
  <c r="AD106" i="3"/>
  <c r="AC106" i="3"/>
  <c r="AB106" i="3"/>
  <c r="AI105" i="3"/>
  <c r="AG105" i="3"/>
  <c r="AF105" i="3"/>
  <c r="AE105" i="3"/>
  <c r="AD105" i="3"/>
  <c r="AC105" i="3"/>
  <c r="AB105" i="3"/>
  <c r="AI104" i="3"/>
  <c r="AG104" i="3"/>
  <c r="AF104" i="3"/>
  <c r="AE104" i="3"/>
  <c r="AD104" i="3"/>
  <c r="AC104" i="3"/>
  <c r="AB104" i="3"/>
  <c r="AI103" i="3"/>
  <c r="AG103" i="3"/>
  <c r="AF103" i="3"/>
  <c r="AE103" i="3"/>
  <c r="AD103" i="3"/>
  <c r="AC103" i="3"/>
  <c r="AB103" i="3"/>
  <c r="AI102" i="3"/>
  <c r="AG102" i="3"/>
  <c r="AF102" i="3"/>
  <c r="AE102" i="3"/>
  <c r="AD102" i="3"/>
  <c r="AC102" i="3"/>
  <c r="AH102" i="3" s="1"/>
  <c r="AB102" i="3"/>
  <c r="AN101" i="3"/>
  <c r="AI101" i="3"/>
  <c r="AG101" i="3"/>
  <c r="AF101" i="3"/>
  <c r="AE101" i="3"/>
  <c r="AD101" i="3"/>
  <c r="AC101" i="3"/>
  <c r="AB101" i="3"/>
  <c r="AN100" i="3"/>
  <c r="AI100" i="3"/>
  <c r="AG100" i="3"/>
  <c r="AF100" i="3"/>
  <c r="AE100" i="3"/>
  <c r="AD100" i="3"/>
  <c r="AC100" i="3"/>
  <c r="AB100" i="3"/>
  <c r="AN99" i="3"/>
  <c r="AI99" i="3"/>
  <c r="AG99" i="3"/>
  <c r="AF99" i="3"/>
  <c r="AE99" i="3"/>
  <c r="AD99" i="3"/>
  <c r="AC99" i="3"/>
  <c r="AB99" i="3"/>
  <c r="AI98" i="3"/>
  <c r="AG98" i="3"/>
  <c r="AF98" i="3"/>
  <c r="AE98" i="3"/>
  <c r="AD98" i="3"/>
  <c r="AC98" i="3"/>
  <c r="AB98" i="3"/>
  <c r="AH98" i="3" s="1"/>
  <c r="AI97" i="3"/>
  <c r="AG97" i="3"/>
  <c r="AF97" i="3"/>
  <c r="AE97" i="3"/>
  <c r="AD97" i="3"/>
  <c r="AC97" i="3"/>
  <c r="AB97" i="3"/>
  <c r="AL97" i="3" s="1"/>
  <c r="AN96" i="3"/>
  <c r="AI96" i="3"/>
  <c r="AG96" i="3"/>
  <c r="AF96" i="3"/>
  <c r="AE96" i="3"/>
  <c r="AD96" i="3"/>
  <c r="AC96" i="3"/>
  <c r="AB96" i="3"/>
  <c r="AL96" i="3" s="1"/>
  <c r="AI95" i="3"/>
  <c r="AG95" i="3"/>
  <c r="AF95" i="3"/>
  <c r="AE95" i="3"/>
  <c r="AD95" i="3"/>
  <c r="AC95" i="3"/>
  <c r="AB95" i="3"/>
  <c r="AI94" i="3"/>
  <c r="AG94" i="3"/>
  <c r="AF94" i="3"/>
  <c r="AE94" i="3"/>
  <c r="AD94" i="3"/>
  <c r="AC94" i="3"/>
  <c r="AB94" i="3"/>
  <c r="AL94" i="3" s="1"/>
  <c r="AI93" i="3"/>
  <c r="AG93" i="3"/>
  <c r="AF93" i="3"/>
  <c r="AE93" i="3"/>
  <c r="AH93" i="3" s="1"/>
  <c r="AD93" i="3"/>
  <c r="AC93" i="3"/>
  <c r="AB93" i="3"/>
  <c r="AL93" i="3" s="1"/>
  <c r="AI92" i="3"/>
  <c r="AG92" i="3"/>
  <c r="AF92" i="3"/>
  <c r="AE92" i="3"/>
  <c r="AD92" i="3"/>
  <c r="AC92" i="3"/>
  <c r="AB92" i="3"/>
  <c r="AL92" i="3" s="1"/>
  <c r="AI91" i="3"/>
  <c r="AG91" i="3"/>
  <c r="AF91" i="3"/>
  <c r="AE91" i="3"/>
  <c r="AD91" i="3"/>
  <c r="AC91" i="3"/>
  <c r="AB91" i="3"/>
  <c r="AL91" i="3" s="1"/>
  <c r="AN90" i="3"/>
  <c r="AI90" i="3"/>
  <c r="AG90" i="3"/>
  <c r="AF90" i="3"/>
  <c r="AE90" i="3"/>
  <c r="AD90" i="3"/>
  <c r="AC90" i="3"/>
  <c r="AB90" i="3"/>
  <c r="AL90" i="3" s="1"/>
  <c r="AI89" i="3"/>
  <c r="AG89" i="3"/>
  <c r="AF89" i="3"/>
  <c r="AE89" i="3"/>
  <c r="AD89" i="3"/>
  <c r="AC89" i="3"/>
  <c r="AB89" i="3"/>
  <c r="AN88" i="3"/>
  <c r="AI88" i="3"/>
  <c r="AG88" i="3"/>
  <c r="AF88" i="3"/>
  <c r="AE88" i="3"/>
  <c r="AD88" i="3"/>
  <c r="AC88" i="3"/>
  <c r="AB88" i="3"/>
  <c r="AL88" i="3" s="1"/>
  <c r="AI87" i="3"/>
  <c r="AG87" i="3"/>
  <c r="AF87" i="3"/>
  <c r="AE87" i="3"/>
  <c r="AD87" i="3"/>
  <c r="AC87" i="3"/>
  <c r="AB87" i="3"/>
  <c r="AL87" i="3" s="1"/>
  <c r="AI86" i="3"/>
  <c r="AG86" i="3"/>
  <c r="AF86" i="3"/>
  <c r="AE86" i="3"/>
  <c r="AD86" i="3"/>
  <c r="AC86" i="3"/>
  <c r="AB86" i="3"/>
  <c r="AL86" i="3" s="1"/>
  <c r="AI85" i="3"/>
  <c r="AG85" i="3"/>
  <c r="AF85" i="3"/>
  <c r="AE85" i="3"/>
  <c r="AD85" i="3"/>
  <c r="AC85" i="3"/>
  <c r="AB85" i="3"/>
  <c r="AL85" i="3" s="1"/>
  <c r="AI84" i="3"/>
  <c r="AG84" i="3"/>
  <c r="AF84" i="3"/>
  <c r="AE84" i="3"/>
  <c r="AD84" i="3"/>
  <c r="AC84" i="3"/>
  <c r="AB84" i="3"/>
  <c r="AL84" i="3" s="1"/>
  <c r="AI83" i="3"/>
  <c r="AG83" i="3"/>
  <c r="AF83" i="3"/>
  <c r="AE83" i="3"/>
  <c r="AD83" i="3"/>
  <c r="AC83" i="3"/>
  <c r="AB83" i="3"/>
  <c r="AI82" i="3"/>
  <c r="AG82" i="3"/>
  <c r="AF82" i="3"/>
  <c r="AE82" i="3"/>
  <c r="AD82" i="3"/>
  <c r="AC82" i="3"/>
  <c r="AB82" i="3"/>
  <c r="AL82" i="3" s="1"/>
  <c r="AI81" i="3"/>
  <c r="AG81" i="3"/>
  <c r="AF81" i="3"/>
  <c r="AE81" i="3"/>
  <c r="AD81" i="3"/>
  <c r="AC81" i="3"/>
  <c r="AB81" i="3"/>
  <c r="AL81" i="3" s="1"/>
  <c r="AI80" i="3"/>
  <c r="AG80" i="3"/>
  <c r="AF80" i="3"/>
  <c r="AE80" i="3"/>
  <c r="AD80" i="3"/>
  <c r="AC80" i="3"/>
  <c r="AH80" i="3" s="1"/>
  <c r="AB80" i="3"/>
  <c r="AL80" i="3" s="1"/>
  <c r="AI79" i="3"/>
  <c r="AG79" i="3"/>
  <c r="AF79" i="3"/>
  <c r="AH79" i="3" s="1"/>
  <c r="AE79" i="3"/>
  <c r="AD79" i="3"/>
  <c r="AC79" i="3"/>
  <c r="AB79" i="3"/>
  <c r="AL79" i="3" s="1"/>
  <c r="AI78" i="3"/>
  <c r="AG78" i="3"/>
  <c r="AF78" i="3"/>
  <c r="AE78" i="3"/>
  <c r="AD78" i="3"/>
  <c r="AC78" i="3"/>
  <c r="AB78" i="3"/>
  <c r="AL78" i="3" s="1"/>
  <c r="AI77" i="3"/>
  <c r="AG77" i="3"/>
  <c r="AF77" i="3"/>
  <c r="AE77" i="3"/>
  <c r="AD77" i="3"/>
  <c r="AC77" i="3"/>
  <c r="AB77" i="3"/>
  <c r="AN76" i="3"/>
  <c r="AI76" i="3"/>
  <c r="AG76" i="3"/>
  <c r="AF76" i="3"/>
  <c r="AE76" i="3"/>
  <c r="AD76" i="3"/>
  <c r="AC76" i="3"/>
  <c r="AB76" i="3"/>
  <c r="AI75" i="3"/>
  <c r="AG75" i="3"/>
  <c r="AF75" i="3"/>
  <c r="AE75" i="3"/>
  <c r="AD75" i="3"/>
  <c r="AC75" i="3"/>
  <c r="AB75" i="3"/>
  <c r="AL75" i="3" s="1"/>
  <c r="AI74" i="3"/>
  <c r="AG74" i="3"/>
  <c r="AF74" i="3"/>
  <c r="AE74" i="3"/>
  <c r="AH74" i="3" s="1"/>
  <c r="AD74" i="3"/>
  <c r="AC74" i="3"/>
  <c r="AB74" i="3"/>
  <c r="AL74" i="3" s="1"/>
  <c r="AI73" i="3"/>
  <c r="AG73" i="3"/>
  <c r="AF73" i="3"/>
  <c r="AE73" i="3"/>
  <c r="AD73" i="3"/>
  <c r="AC73" i="3"/>
  <c r="AB73" i="3"/>
  <c r="AL73" i="3" s="1"/>
  <c r="AI72" i="3"/>
  <c r="AG72" i="3"/>
  <c r="AF72" i="3"/>
  <c r="AE72" i="3"/>
  <c r="AD72" i="3"/>
  <c r="AC72" i="3"/>
  <c r="AB72" i="3"/>
  <c r="AL72" i="3" s="1"/>
  <c r="AI71" i="3"/>
  <c r="AG71" i="3"/>
  <c r="AF71" i="3"/>
  <c r="AE71" i="3"/>
  <c r="AD71" i="3"/>
  <c r="AC71" i="3"/>
  <c r="AB71" i="3"/>
  <c r="AI70" i="3"/>
  <c r="AG70" i="3"/>
  <c r="AF70" i="3"/>
  <c r="AE70" i="3"/>
  <c r="AD70" i="3"/>
  <c r="AC70" i="3"/>
  <c r="AB70" i="3"/>
  <c r="AI69" i="3"/>
  <c r="AG69" i="3"/>
  <c r="AF69" i="3"/>
  <c r="AE69" i="3"/>
  <c r="AD69" i="3"/>
  <c r="AC69" i="3"/>
  <c r="AB69" i="3"/>
  <c r="AL69" i="3" s="1"/>
  <c r="AI68" i="3"/>
  <c r="AG68" i="3"/>
  <c r="AH68" i="3" s="1"/>
  <c r="AF68" i="3"/>
  <c r="AE68" i="3"/>
  <c r="AD68" i="3"/>
  <c r="AC68" i="3"/>
  <c r="AB68" i="3"/>
  <c r="AL68" i="3" s="1"/>
  <c r="AI67" i="3"/>
  <c r="AG67" i="3"/>
  <c r="AF67" i="3"/>
  <c r="AE67" i="3"/>
  <c r="AD67" i="3"/>
  <c r="AC67" i="3"/>
  <c r="AB67" i="3"/>
  <c r="AL67" i="3" s="1"/>
  <c r="AI66" i="3"/>
  <c r="AG66" i="3"/>
  <c r="AF66" i="3"/>
  <c r="AE66" i="3"/>
  <c r="AD66" i="3"/>
  <c r="AC66" i="3"/>
  <c r="AB66" i="3"/>
  <c r="AL66" i="3" s="1"/>
  <c r="AI65" i="3"/>
  <c r="AG65" i="3"/>
  <c r="AF65" i="3"/>
  <c r="AE65" i="3"/>
  <c r="AD65" i="3"/>
  <c r="AC65" i="3"/>
  <c r="AB65" i="3"/>
  <c r="AN64" i="3"/>
  <c r="AI64" i="3"/>
  <c r="AG64" i="3"/>
  <c r="AF64" i="3"/>
  <c r="AE64" i="3"/>
  <c r="AD64" i="3"/>
  <c r="AC64" i="3"/>
  <c r="AB64" i="3"/>
  <c r="AI63" i="3"/>
  <c r="AG63" i="3"/>
  <c r="AF63" i="3"/>
  <c r="AE63" i="3"/>
  <c r="AH63" i="3" s="1"/>
  <c r="AD63" i="3"/>
  <c r="AC63" i="3"/>
  <c r="AB63" i="3"/>
  <c r="AL63" i="3" s="1"/>
  <c r="AI62" i="3"/>
  <c r="AH62" i="3"/>
  <c r="AG62" i="3"/>
  <c r="AF62" i="3"/>
  <c r="AE62" i="3"/>
  <c r="AD62" i="3"/>
  <c r="AC62" i="3"/>
  <c r="AB62" i="3"/>
  <c r="AL62" i="3" s="1"/>
  <c r="AN61" i="3"/>
  <c r="AI61" i="3"/>
  <c r="AG61" i="3"/>
  <c r="AF61" i="3"/>
  <c r="AE61" i="3"/>
  <c r="AD61" i="3"/>
  <c r="AC61" i="3"/>
  <c r="AB61" i="3"/>
  <c r="AL61" i="3" s="1"/>
  <c r="AI60" i="3"/>
  <c r="AG60" i="3"/>
  <c r="AF60" i="3"/>
  <c r="AE60" i="3"/>
  <c r="AD60" i="3"/>
  <c r="AC60" i="3"/>
  <c r="AB60" i="3"/>
  <c r="AL60" i="3" s="1"/>
  <c r="AI59" i="3"/>
  <c r="AG59" i="3"/>
  <c r="AF59" i="3"/>
  <c r="AE59" i="3"/>
  <c r="AD59" i="3"/>
  <c r="AC59" i="3"/>
  <c r="AB59" i="3"/>
  <c r="AI58" i="3"/>
  <c r="AG58" i="3"/>
  <c r="AF58" i="3"/>
  <c r="AE58" i="3"/>
  <c r="AD58" i="3"/>
  <c r="AC58" i="3"/>
  <c r="AB58" i="3"/>
  <c r="AI57" i="3"/>
  <c r="AG57" i="3"/>
  <c r="AF57" i="3"/>
  <c r="AE57" i="3"/>
  <c r="AD57" i="3"/>
  <c r="AC57" i="3"/>
  <c r="AB57" i="3"/>
  <c r="AL57" i="3" s="1"/>
  <c r="AI56" i="3"/>
  <c r="AG56" i="3"/>
  <c r="AF56" i="3"/>
  <c r="AE56" i="3"/>
  <c r="AD56" i="3"/>
  <c r="AC56" i="3"/>
  <c r="AB56" i="3"/>
  <c r="AL56" i="3" s="1"/>
  <c r="AI55" i="3"/>
  <c r="AG55" i="3"/>
  <c r="AF55" i="3"/>
  <c r="AE55" i="3"/>
  <c r="AH55" i="3" s="1"/>
  <c r="AD55" i="3"/>
  <c r="AC55" i="3"/>
  <c r="AB55" i="3"/>
  <c r="AL55" i="3" s="1"/>
  <c r="AI54" i="3"/>
  <c r="AG54" i="3"/>
  <c r="AF54" i="3"/>
  <c r="AE54" i="3"/>
  <c r="AD54" i="3"/>
  <c r="AC54" i="3"/>
  <c r="AB54" i="3"/>
  <c r="AL54" i="3" s="1"/>
  <c r="AI53" i="3"/>
  <c r="AG53" i="3"/>
  <c r="AF53" i="3"/>
  <c r="AE53" i="3"/>
  <c r="AD53" i="3"/>
  <c r="AC53" i="3"/>
  <c r="AH53" i="3" s="1"/>
  <c r="AB53" i="3"/>
  <c r="AL53" i="3" s="1"/>
  <c r="AN52" i="3"/>
  <c r="AI52" i="3"/>
  <c r="AG52" i="3"/>
  <c r="AF52" i="3"/>
  <c r="AE52" i="3"/>
  <c r="AD52" i="3"/>
  <c r="AC52" i="3"/>
  <c r="AB52" i="3"/>
  <c r="AL52" i="3" s="1"/>
  <c r="AN51" i="3"/>
  <c r="AI51" i="3"/>
  <c r="AG51" i="3"/>
  <c r="AF51" i="3"/>
  <c r="AE51" i="3"/>
  <c r="AD51" i="3"/>
  <c r="AC51" i="3"/>
  <c r="AB51" i="3"/>
  <c r="AL51" i="3" s="1"/>
  <c r="AI50" i="3"/>
  <c r="AG50" i="3"/>
  <c r="AF50" i="3"/>
  <c r="AE50" i="3"/>
  <c r="AD50" i="3"/>
  <c r="AC50" i="3"/>
  <c r="AB50" i="3"/>
  <c r="AL50" i="3" s="1"/>
  <c r="AI49" i="3"/>
  <c r="AG49" i="3"/>
  <c r="AF49" i="3"/>
  <c r="AE49" i="3"/>
  <c r="AD49" i="3"/>
  <c r="AC49" i="3"/>
  <c r="AB49" i="3"/>
  <c r="AL49" i="3" s="1"/>
  <c r="AN48" i="3"/>
  <c r="AI48" i="3"/>
  <c r="AG48" i="3"/>
  <c r="AF48" i="3"/>
  <c r="AE48" i="3"/>
  <c r="AD48" i="3"/>
  <c r="AC48" i="3"/>
  <c r="AB48" i="3"/>
  <c r="AL48" i="3" s="1"/>
  <c r="AI47" i="3"/>
  <c r="AG47" i="3"/>
  <c r="AF47" i="3"/>
  <c r="AE47" i="3"/>
  <c r="AD47" i="3"/>
  <c r="AC47" i="3"/>
  <c r="AB47" i="3"/>
  <c r="AL47" i="3" s="1"/>
  <c r="AI46" i="3"/>
  <c r="AG46" i="3"/>
  <c r="AF46" i="3"/>
  <c r="AE46" i="3"/>
  <c r="AD46" i="3"/>
  <c r="AC46" i="3"/>
  <c r="AB46" i="3"/>
  <c r="AL46" i="3" s="1"/>
  <c r="AI45" i="3"/>
  <c r="AG45" i="3"/>
  <c r="AF45" i="3"/>
  <c r="AE45" i="3"/>
  <c r="AD45" i="3"/>
  <c r="AC45" i="3"/>
  <c r="AH45" i="3" s="1"/>
  <c r="AB45" i="3"/>
  <c r="AL45" i="3" s="1"/>
  <c r="AI44" i="3"/>
  <c r="AG44" i="3"/>
  <c r="AF44" i="3"/>
  <c r="AE44" i="3"/>
  <c r="AD44" i="3"/>
  <c r="AC44" i="3"/>
  <c r="AB44" i="3"/>
  <c r="AL44" i="3" s="1"/>
  <c r="AI43" i="3"/>
  <c r="AH43" i="3"/>
  <c r="AG43" i="3"/>
  <c r="AF43" i="3"/>
  <c r="AE43" i="3"/>
  <c r="AD43" i="3"/>
  <c r="AC43" i="3"/>
  <c r="AB43" i="3"/>
  <c r="AL43" i="3" s="1"/>
  <c r="AI42" i="3"/>
  <c r="AG42" i="3"/>
  <c r="AF42" i="3"/>
  <c r="AE42" i="3"/>
  <c r="AD42" i="3"/>
  <c r="AC42" i="3"/>
  <c r="AB42" i="3"/>
  <c r="AL42" i="3" s="1"/>
  <c r="AN41" i="3"/>
  <c r="AI41" i="3"/>
  <c r="AG41" i="3"/>
  <c r="AF41" i="3"/>
  <c r="AE41" i="3"/>
  <c r="AD41" i="3"/>
  <c r="AC41" i="3"/>
  <c r="AB41" i="3"/>
  <c r="AL41" i="3" s="1"/>
  <c r="AN40" i="3"/>
  <c r="AI40" i="3"/>
  <c r="AG40" i="3"/>
  <c r="AF40" i="3"/>
  <c r="AE40" i="3"/>
  <c r="AD40" i="3"/>
  <c r="AC40" i="3"/>
  <c r="AB40" i="3"/>
  <c r="AL40" i="3" s="1"/>
  <c r="AI39" i="3"/>
  <c r="AG39" i="3"/>
  <c r="AF39" i="3"/>
  <c r="AE39" i="3"/>
  <c r="AH39" i="3" s="1"/>
  <c r="AD39" i="3"/>
  <c r="AC39" i="3"/>
  <c r="AB39" i="3"/>
  <c r="AL39" i="3" s="1"/>
  <c r="AI38" i="3"/>
  <c r="AG38" i="3"/>
  <c r="AF38" i="3"/>
  <c r="AE38" i="3"/>
  <c r="AD38" i="3"/>
  <c r="AC38" i="3"/>
  <c r="AB38" i="3"/>
  <c r="AL38" i="3" s="1"/>
  <c r="AN37" i="3"/>
  <c r="AI37" i="3"/>
  <c r="AG37" i="3"/>
  <c r="AF37" i="3"/>
  <c r="AE37" i="3"/>
  <c r="AD37" i="3"/>
  <c r="AC37" i="3"/>
  <c r="AH37" i="3" s="1"/>
  <c r="AB37" i="3"/>
  <c r="AL37" i="3" s="1"/>
  <c r="AN36" i="3"/>
  <c r="AI36" i="3"/>
  <c r="AG36" i="3"/>
  <c r="AF36" i="3"/>
  <c r="AE36" i="3"/>
  <c r="AD36" i="3"/>
  <c r="AC36" i="3"/>
  <c r="AB36" i="3"/>
  <c r="AL36" i="3" s="1"/>
  <c r="AI35" i="3"/>
  <c r="AG35" i="3"/>
  <c r="AF35" i="3"/>
  <c r="AE35" i="3"/>
  <c r="AD35" i="3"/>
  <c r="AC35" i="3"/>
  <c r="AB35" i="3"/>
  <c r="AH35" i="3" s="1"/>
  <c r="AI34" i="3"/>
  <c r="AG34" i="3"/>
  <c r="AF34" i="3"/>
  <c r="AE34" i="3"/>
  <c r="AD34" i="3"/>
  <c r="AH34" i="3" s="1"/>
  <c r="AC34" i="3"/>
  <c r="AB34" i="3"/>
  <c r="AI33" i="3"/>
  <c r="AG33" i="3"/>
  <c r="AF33" i="3"/>
  <c r="AE33" i="3"/>
  <c r="AD33" i="3"/>
  <c r="AC33" i="3"/>
  <c r="AB33" i="3"/>
  <c r="AI32" i="3"/>
  <c r="AG32" i="3"/>
  <c r="AF32" i="3"/>
  <c r="AE32" i="3"/>
  <c r="AD32" i="3"/>
  <c r="AC32" i="3"/>
  <c r="AB32" i="3"/>
  <c r="AI31" i="3"/>
  <c r="AG31" i="3"/>
  <c r="AF31" i="3"/>
  <c r="AE31" i="3"/>
  <c r="AD31" i="3"/>
  <c r="AC31" i="3"/>
  <c r="AB31" i="3"/>
  <c r="AH31" i="3" s="1"/>
  <c r="AI30" i="3"/>
  <c r="AG30" i="3"/>
  <c r="AF30" i="3"/>
  <c r="AE30" i="3"/>
  <c r="AD30" i="3"/>
  <c r="AC30" i="3"/>
  <c r="AB30" i="3"/>
  <c r="AI29" i="3"/>
  <c r="AG29" i="3"/>
  <c r="AF29" i="3"/>
  <c r="AE29" i="3"/>
  <c r="AD29" i="3"/>
  <c r="AC29" i="3"/>
  <c r="AB29" i="3"/>
  <c r="AN28" i="3"/>
  <c r="AI28" i="3"/>
  <c r="AG28" i="3"/>
  <c r="AF28" i="3"/>
  <c r="AE28" i="3"/>
  <c r="AD28" i="3"/>
  <c r="AC28" i="3"/>
  <c r="AB28" i="3"/>
  <c r="AN27" i="3"/>
  <c r="AI27" i="3"/>
  <c r="AH27" i="3"/>
  <c r="AG27" i="3"/>
  <c r="AF27" i="3"/>
  <c r="AE27" i="3"/>
  <c r="AD27" i="3"/>
  <c r="AC27" i="3"/>
  <c r="AB27" i="3"/>
  <c r="AI26" i="3"/>
  <c r="AG26" i="3"/>
  <c r="AF26" i="3"/>
  <c r="AE26" i="3"/>
  <c r="AD26" i="3"/>
  <c r="AC26" i="3"/>
  <c r="AB26" i="3"/>
  <c r="AI25" i="3"/>
  <c r="AG25" i="3"/>
  <c r="AF25" i="3"/>
  <c r="AE25" i="3"/>
  <c r="AD25" i="3"/>
  <c r="AC25" i="3"/>
  <c r="AB25" i="3"/>
  <c r="AI24" i="3"/>
  <c r="AG24" i="3"/>
  <c r="AF24" i="3"/>
  <c r="AE24" i="3"/>
  <c r="AD24" i="3"/>
  <c r="AC24" i="3"/>
  <c r="AB24" i="3"/>
  <c r="AN23" i="3"/>
  <c r="AI23" i="3"/>
  <c r="AG23" i="3"/>
  <c r="AF23" i="3"/>
  <c r="AE23" i="3"/>
  <c r="AH23" i="3" s="1"/>
  <c r="AD23" i="3"/>
  <c r="AC23" i="3"/>
  <c r="AB23" i="3"/>
  <c r="AI22" i="3"/>
  <c r="AG22" i="3"/>
  <c r="AF22" i="3"/>
  <c r="AE22" i="3"/>
  <c r="AD22" i="3"/>
  <c r="AC22" i="3"/>
  <c r="AB22" i="3"/>
  <c r="AI21" i="3"/>
  <c r="AG21" i="3"/>
  <c r="AF21" i="3"/>
  <c r="AE21" i="3"/>
  <c r="AD21" i="3"/>
  <c r="AC21" i="3"/>
  <c r="AB21" i="3"/>
  <c r="AI20" i="3"/>
  <c r="AG20" i="3"/>
  <c r="AF20" i="3"/>
  <c r="AE20" i="3"/>
  <c r="AD20" i="3"/>
  <c r="AC20" i="3"/>
  <c r="AB20" i="3"/>
  <c r="AI19" i="3"/>
  <c r="AG19" i="3"/>
  <c r="AF19" i="3"/>
  <c r="AE19" i="3"/>
  <c r="AD19" i="3"/>
  <c r="AC19" i="3"/>
  <c r="AB19" i="3"/>
  <c r="AH19" i="3" s="1"/>
  <c r="AI18" i="3"/>
  <c r="AG18" i="3"/>
  <c r="AF18" i="3"/>
  <c r="AE18" i="3"/>
  <c r="AD18" i="3"/>
  <c r="AC18" i="3"/>
  <c r="AB18" i="3"/>
  <c r="AI17" i="3"/>
  <c r="AG17" i="3"/>
  <c r="AF17" i="3"/>
  <c r="AE17" i="3"/>
  <c r="AD17" i="3"/>
  <c r="AC17" i="3"/>
  <c r="AB17" i="3"/>
  <c r="AN16" i="3"/>
  <c r="AI16" i="3"/>
  <c r="AG16" i="3"/>
  <c r="AF16" i="3"/>
  <c r="AE16" i="3"/>
  <c r="AD16" i="3"/>
  <c r="AC16" i="3"/>
  <c r="AB16" i="3"/>
  <c r="AN15" i="3"/>
  <c r="AI15" i="3"/>
  <c r="AG15" i="3"/>
  <c r="AF15" i="3"/>
  <c r="AE15" i="3"/>
  <c r="AD15" i="3"/>
  <c r="AC15" i="3"/>
  <c r="AB15" i="3"/>
  <c r="AH15" i="3" s="1"/>
  <c r="AI14" i="3"/>
  <c r="AG14" i="3"/>
  <c r="AF14" i="3"/>
  <c r="AE14" i="3"/>
  <c r="AD14" i="3"/>
  <c r="AC14" i="3"/>
  <c r="AB14" i="3"/>
  <c r="AN13" i="3"/>
  <c r="AI13" i="3"/>
  <c r="AG13" i="3"/>
  <c r="AF13" i="3"/>
  <c r="AE13" i="3"/>
  <c r="AD13" i="3"/>
  <c r="AC13" i="3"/>
  <c r="AB13" i="3"/>
  <c r="AI12" i="3"/>
  <c r="AG12" i="3"/>
  <c r="AF12" i="3"/>
  <c r="AE12" i="3"/>
  <c r="AD12" i="3"/>
  <c r="AC12" i="3"/>
  <c r="AB12" i="3"/>
  <c r="AN11" i="3"/>
  <c r="AI11" i="3"/>
  <c r="AH11" i="3"/>
  <c r="AG11" i="3"/>
  <c r="AF11" i="3"/>
  <c r="AE11" i="3"/>
  <c r="AD11" i="3"/>
  <c r="AC11" i="3"/>
  <c r="AB11" i="3"/>
  <c r="AI10" i="3"/>
  <c r="AG10" i="3"/>
  <c r="AF10" i="3"/>
  <c r="AE10" i="3"/>
  <c r="AD10" i="3"/>
  <c r="AC10" i="3"/>
  <c r="AB10" i="3"/>
  <c r="AN9" i="3"/>
  <c r="AI9" i="3"/>
  <c r="AG9" i="3"/>
  <c r="AF9" i="3"/>
  <c r="AE9" i="3"/>
  <c r="AD9" i="3"/>
  <c r="AC9" i="3"/>
  <c r="AB9" i="3"/>
  <c r="AH9" i="3" s="1"/>
  <c r="AN8" i="3"/>
  <c r="AI8" i="3"/>
  <c r="AG8" i="3"/>
  <c r="AF8" i="3"/>
  <c r="AE8" i="3"/>
  <c r="AD8" i="3"/>
  <c r="AC8" i="3"/>
  <c r="AB8" i="3"/>
  <c r="AN7" i="3"/>
  <c r="AI7" i="3"/>
  <c r="AG7" i="3"/>
  <c r="AF7" i="3"/>
  <c r="AE7" i="3"/>
  <c r="AD7" i="3"/>
  <c r="AC7" i="3"/>
  <c r="AB7" i="3"/>
  <c r="AN6" i="3"/>
  <c r="AI6" i="3"/>
  <c r="AG6" i="3"/>
  <c r="AF6" i="3"/>
  <c r="AE6" i="3"/>
  <c r="AD6" i="3"/>
  <c r="AC6" i="3"/>
  <c r="E42" i="2"/>
  <c r="C41" i="2"/>
  <c r="C39" i="2"/>
  <c r="F35" i="2"/>
  <c r="D35" i="2"/>
  <c r="E35" i="2" s="1"/>
  <c r="D34" i="2"/>
  <c r="F34" i="2" s="1"/>
  <c r="F33" i="2"/>
  <c r="D33" i="2"/>
  <c r="E33" i="2" s="1"/>
  <c r="D32" i="2"/>
  <c r="F31" i="2"/>
  <c r="E31" i="2"/>
  <c r="D31" i="2"/>
  <c r="F30" i="2"/>
  <c r="E30" i="2"/>
  <c r="D30" i="2"/>
  <c r="F29" i="2"/>
  <c r="E29" i="2"/>
  <c r="D29" i="2"/>
  <c r="E28" i="2"/>
  <c r="D28" i="2"/>
  <c r="F28" i="2" s="1"/>
  <c r="F27" i="2"/>
  <c r="E27" i="2"/>
  <c r="H27" i="2" s="1"/>
  <c r="D27" i="2"/>
  <c r="F26" i="2"/>
  <c r="E26" i="2"/>
  <c r="D26" i="2"/>
  <c r="D25" i="2"/>
  <c r="F25" i="2" s="1"/>
  <c r="D24" i="2"/>
  <c r="F24" i="2" s="1"/>
  <c r="D23" i="2"/>
  <c r="F23" i="2" s="1"/>
  <c r="F22" i="2"/>
  <c r="D22" i="2"/>
  <c r="E22" i="2" s="1"/>
  <c r="D21" i="2"/>
  <c r="D20" i="2"/>
  <c r="F20" i="2" s="1"/>
  <c r="F19" i="2"/>
  <c r="E19" i="2"/>
  <c r="D19" i="2"/>
  <c r="F18" i="2"/>
  <c r="E18" i="2"/>
  <c r="D18" i="2"/>
  <c r="D17" i="2"/>
  <c r="F17" i="2" s="1"/>
  <c r="D16" i="2"/>
  <c r="F16" i="2" s="1"/>
  <c r="F15" i="2"/>
  <c r="E15" i="2"/>
  <c r="D15" i="2"/>
  <c r="D14" i="2"/>
  <c r="F14" i="2" s="1"/>
  <c r="C10" i="2"/>
  <c r="C9" i="2"/>
  <c r="B11" i="1"/>
  <c r="C11" i="1" s="1"/>
  <c r="AJ53" i="3" l="1"/>
  <c r="AJ134" i="3"/>
  <c r="AJ11" i="3"/>
  <c r="AK11" i="3" s="1"/>
  <c r="AJ43" i="3"/>
  <c r="AK43" i="3" s="1"/>
  <c r="AJ37" i="3"/>
  <c r="AJ62" i="3"/>
  <c r="AK62" i="3" s="1"/>
  <c r="AJ118" i="3"/>
  <c r="AK118" i="3" s="1"/>
  <c r="AJ45" i="3"/>
  <c r="AK45" i="3" s="1"/>
  <c r="AJ102" i="3"/>
  <c r="AK102" i="3" s="1"/>
  <c r="AJ27" i="3"/>
  <c r="AH61" i="3"/>
  <c r="AJ61" i="3" s="1"/>
  <c r="AK61" i="3" s="1"/>
  <c r="AH41" i="3"/>
  <c r="AH48" i="3"/>
  <c r="AH67" i="3"/>
  <c r="AJ67" i="3" s="1"/>
  <c r="AK67" i="3" s="1"/>
  <c r="AH10" i="3"/>
  <c r="AH121" i="3"/>
  <c r="AJ121" i="3" s="1"/>
  <c r="AK121" i="3" s="1"/>
  <c r="AH22" i="3"/>
  <c r="AJ22" i="3" s="1"/>
  <c r="AK22" i="3" s="1"/>
  <c r="AH44" i="3"/>
  <c r="AJ44" i="3" s="1"/>
  <c r="AK44" i="3" s="1"/>
  <c r="AH137" i="3"/>
  <c r="AJ137" i="3" s="1"/>
  <c r="AK137" i="3" s="1"/>
  <c r="AH38" i="3"/>
  <c r="AJ38" i="3" s="1"/>
  <c r="AK38" i="3" s="1"/>
  <c r="AH54" i="3"/>
  <c r="AJ54" i="3" s="1"/>
  <c r="AK54" i="3" s="1"/>
  <c r="AH86" i="3"/>
  <c r="AJ86" i="3" s="1"/>
  <c r="AK86" i="3" s="1"/>
  <c r="AH101" i="3"/>
  <c r="AJ101" i="3" s="1"/>
  <c r="AK101" i="3" s="1"/>
  <c r="AH117" i="3"/>
  <c r="AH133" i="3"/>
  <c r="AH92" i="3"/>
  <c r="AH18" i="3"/>
  <c r="AH40" i="3"/>
  <c r="AH69" i="3"/>
  <c r="AJ69" i="3" s="1"/>
  <c r="AK69" i="3" s="1"/>
  <c r="AH105" i="3"/>
  <c r="AJ105" i="3" s="1"/>
  <c r="AH51" i="3"/>
  <c r="AH50" i="3"/>
  <c r="AH113" i="3"/>
  <c r="AJ113" i="3" s="1"/>
  <c r="AK113" i="3" s="1"/>
  <c r="AH129" i="3"/>
  <c r="AJ129" i="3" s="1"/>
  <c r="AK129" i="3" s="1"/>
  <c r="AH17" i="3"/>
  <c r="AJ17" i="3" s="1"/>
  <c r="AK17" i="3" s="1"/>
  <c r="AH47" i="3"/>
  <c r="AH75" i="3"/>
  <c r="AH97" i="3"/>
  <c r="AJ97" i="3" s="1"/>
  <c r="AK97" i="3" s="1"/>
  <c r="AH73" i="3"/>
  <c r="AH49" i="3"/>
  <c r="AH56" i="3"/>
  <c r="AJ56" i="3" s="1"/>
  <c r="AK56" i="3" s="1"/>
  <c r="AH14" i="3"/>
  <c r="AJ14" i="3" s="1"/>
  <c r="AK14" i="3" s="1"/>
  <c r="AH30" i="3"/>
  <c r="AJ30" i="3" s="1"/>
  <c r="AK30" i="3" s="1"/>
  <c r="AH36" i="3"/>
  <c r="AJ36" i="3" s="1"/>
  <c r="AK36" i="3" s="1"/>
  <c r="AH52" i="3"/>
  <c r="AJ52" i="3" s="1"/>
  <c r="AK52" i="3" s="1"/>
  <c r="AH81" i="3"/>
  <c r="AJ81" i="3" s="1"/>
  <c r="AK81" i="3" s="1"/>
  <c r="AH7" i="3"/>
  <c r="AJ7" i="3" s="1"/>
  <c r="AK7" i="3" s="1"/>
  <c r="AH26" i="3"/>
  <c r="AH42" i="3"/>
  <c r="AH13" i="3"/>
  <c r="AH29" i="3"/>
  <c r="AJ29" i="3" s="1"/>
  <c r="AK29" i="3" s="1"/>
  <c r="AH46" i="3"/>
  <c r="AH87" i="3"/>
  <c r="AJ19" i="3"/>
  <c r="AJ34" i="3"/>
  <c r="AK34" i="3" s="1"/>
  <c r="AJ35" i="3"/>
  <c r="AK35" i="3" s="1"/>
  <c r="AJ51" i="3"/>
  <c r="AK51" i="3" s="1"/>
  <c r="AJ50" i="3"/>
  <c r="AK50" i="3" s="1"/>
  <c r="AJ13" i="3"/>
  <c r="AK13" i="3" s="1"/>
  <c r="AJ9" i="3"/>
  <c r="AK9" i="3" s="1"/>
  <c r="AJ74" i="3"/>
  <c r="AK74" i="3" s="1"/>
  <c r="AJ63" i="3"/>
  <c r="AK63" i="3" s="1"/>
  <c r="AJ126" i="3"/>
  <c r="AK126" i="3" s="1"/>
  <c r="AJ46" i="3"/>
  <c r="AK46" i="3" s="1"/>
  <c r="AJ80" i="3"/>
  <c r="AK80" i="3" s="1"/>
  <c r="AJ106" i="3"/>
  <c r="AK106" i="3" s="1"/>
  <c r="AJ122" i="3"/>
  <c r="AK122" i="3" s="1"/>
  <c r="AJ138" i="3"/>
  <c r="AK138" i="3" s="1"/>
  <c r="AJ18" i="3"/>
  <c r="AK18" i="3" s="1"/>
  <c r="AJ40" i="3"/>
  <c r="AK40" i="3" s="1"/>
  <c r="AJ73" i="3"/>
  <c r="AK73" i="3" s="1"/>
  <c r="AJ79" i="3"/>
  <c r="AK79" i="3" s="1"/>
  <c r="AJ15" i="3"/>
  <c r="AK15" i="3" s="1"/>
  <c r="AJ31" i="3"/>
  <c r="AK31" i="3" s="1"/>
  <c r="AJ47" i="3"/>
  <c r="AK47" i="3" s="1"/>
  <c r="AJ49" i="3"/>
  <c r="AK49" i="3" s="1"/>
  <c r="AJ117" i="3"/>
  <c r="AK117" i="3" s="1"/>
  <c r="AJ133" i="3"/>
  <c r="AK133" i="3" s="1"/>
  <c r="AJ75" i="3"/>
  <c r="AK75" i="3" s="1"/>
  <c r="AJ10" i="3"/>
  <c r="AK10" i="3" s="1"/>
  <c r="AJ26" i="3"/>
  <c r="AK26" i="3" s="1"/>
  <c r="AJ48" i="3"/>
  <c r="AK48" i="3" s="1"/>
  <c r="AJ87" i="3"/>
  <c r="AK87" i="3" s="1"/>
  <c r="AJ42" i="3"/>
  <c r="AK42" i="3" s="1"/>
  <c r="AJ23" i="3"/>
  <c r="AK23" i="3" s="1"/>
  <c r="AJ39" i="3"/>
  <c r="AK39" i="3" s="1"/>
  <c r="AJ41" i="3"/>
  <c r="AK41" i="3" s="1"/>
  <c r="AJ55" i="3"/>
  <c r="AK55" i="3" s="1"/>
  <c r="AJ93" i="3"/>
  <c r="AK93" i="3" s="1"/>
  <c r="AL25" i="3"/>
  <c r="AL64" i="3"/>
  <c r="AH64" i="3"/>
  <c r="AJ64" i="3" s="1"/>
  <c r="AK64" i="3" s="1"/>
  <c r="AL71" i="3"/>
  <c r="AH71" i="3"/>
  <c r="AJ71" i="3" s="1"/>
  <c r="AK71" i="3" s="1"/>
  <c r="E20" i="2"/>
  <c r="E34" i="2"/>
  <c r="H34" i="2" s="1"/>
  <c r="AL8" i="3"/>
  <c r="AL12" i="3"/>
  <c r="AL16" i="3"/>
  <c r="AL20" i="3"/>
  <c r="AL24" i="3"/>
  <c r="AL28" i="3"/>
  <c r="AL32" i="3"/>
  <c r="AL104" i="3"/>
  <c r="AH104" i="3"/>
  <c r="AJ104" i="3" s="1"/>
  <c r="AK104" i="3" s="1"/>
  <c r="AL120" i="3"/>
  <c r="AH120" i="3"/>
  <c r="AJ120" i="3" s="1"/>
  <c r="AK120" i="3" s="1"/>
  <c r="AL136" i="3"/>
  <c r="AH136" i="3"/>
  <c r="AJ136" i="3" s="1"/>
  <c r="AK136" i="3" s="1"/>
  <c r="AL6" i="3"/>
  <c r="AL33" i="3"/>
  <c r="AH57" i="3"/>
  <c r="AJ57" i="3" s="1"/>
  <c r="AK57" i="3" s="1"/>
  <c r="AJ68" i="3"/>
  <c r="AK68" i="3" s="1"/>
  <c r="AH85" i="3"/>
  <c r="AJ85" i="3" s="1"/>
  <c r="AK85" i="3" s="1"/>
  <c r="AJ92" i="3"/>
  <c r="AK92" i="3" s="1"/>
  <c r="AH6" i="3"/>
  <c r="AJ6" i="3" s="1"/>
  <c r="AK6" i="3" s="1"/>
  <c r="AL11" i="3"/>
  <c r="AL23" i="3"/>
  <c r="AL35" i="3"/>
  <c r="AL59" i="3"/>
  <c r="AH59" i="3"/>
  <c r="AJ59" i="3" s="1"/>
  <c r="AK59" i="3" s="1"/>
  <c r="AL70" i="3"/>
  <c r="AH70" i="3"/>
  <c r="AJ70" i="3" s="1"/>
  <c r="AK70" i="3" s="1"/>
  <c r="AL77" i="3"/>
  <c r="AH77" i="3"/>
  <c r="AJ77" i="3" s="1"/>
  <c r="AK77" i="3" s="1"/>
  <c r="AL100" i="3"/>
  <c r="AH100" i="3"/>
  <c r="AJ100" i="3" s="1"/>
  <c r="AK100" i="3" s="1"/>
  <c r="AL116" i="3"/>
  <c r="AH116" i="3"/>
  <c r="AJ116" i="3" s="1"/>
  <c r="AK116" i="3" s="1"/>
  <c r="AL132" i="3"/>
  <c r="AH132" i="3"/>
  <c r="AJ132" i="3" s="1"/>
  <c r="AK132" i="3" s="1"/>
  <c r="AL21" i="3"/>
  <c r="E21" i="2"/>
  <c r="F21" i="2"/>
  <c r="E17" i="2"/>
  <c r="AL15" i="3"/>
  <c r="AL19" i="3"/>
  <c r="AK19" i="3"/>
  <c r="AH21" i="3"/>
  <c r="AJ21" i="3" s="1"/>
  <c r="AK21" i="3" s="1"/>
  <c r="AH25" i="3"/>
  <c r="AJ25" i="3" s="1"/>
  <c r="AK25" i="3" s="1"/>
  <c r="AL27" i="3"/>
  <c r="AK27" i="3"/>
  <c r="AL31" i="3"/>
  <c r="AH33" i="3"/>
  <c r="AJ33" i="3" s="1"/>
  <c r="AK33" i="3" s="1"/>
  <c r="AH91" i="3"/>
  <c r="AJ91" i="3" s="1"/>
  <c r="AK91" i="3" s="1"/>
  <c r="AJ98" i="3"/>
  <c r="AK98" i="3" s="1"/>
  <c r="AJ114" i="3"/>
  <c r="AK114" i="3" s="1"/>
  <c r="AJ130" i="3"/>
  <c r="AK130" i="3" s="1"/>
  <c r="AL13" i="3"/>
  <c r="AL108" i="3"/>
  <c r="AH108" i="3"/>
  <c r="AJ108" i="3" s="1"/>
  <c r="AK108" i="3" s="1"/>
  <c r="E24" i="2"/>
  <c r="AL10" i="3"/>
  <c r="AL14" i="3"/>
  <c r="AH16" i="3"/>
  <c r="AJ16" i="3" s="1"/>
  <c r="AK16" i="3" s="1"/>
  <c r="AL18" i="3"/>
  <c r="AH20" i="3"/>
  <c r="AJ20" i="3" s="1"/>
  <c r="AK20" i="3" s="1"/>
  <c r="AL22" i="3"/>
  <c r="AH24" i="3"/>
  <c r="AJ24" i="3" s="1"/>
  <c r="AK24" i="3" s="1"/>
  <c r="AL26" i="3"/>
  <c r="AH28" i="3"/>
  <c r="AJ28" i="3" s="1"/>
  <c r="AK28" i="3" s="1"/>
  <c r="AL30" i="3"/>
  <c r="AH32" i="3"/>
  <c r="AJ32" i="3" s="1"/>
  <c r="AK32" i="3" s="1"/>
  <c r="AL34" i="3"/>
  <c r="AL83" i="3"/>
  <c r="AH83" i="3"/>
  <c r="AJ83" i="3" s="1"/>
  <c r="AK83" i="3" s="1"/>
  <c r="AL112" i="3"/>
  <c r="AH112" i="3"/>
  <c r="AJ112" i="3" s="1"/>
  <c r="AK112" i="3" s="1"/>
  <c r="AL128" i="3"/>
  <c r="AH128" i="3"/>
  <c r="AJ128" i="3" s="1"/>
  <c r="AK128" i="3" s="1"/>
  <c r="AL9" i="3"/>
  <c r="AL17" i="3"/>
  <c r="AL29" i="3"/>
  <c r="AL95" i="3"/>
  <c r="AH95" i="3"/>
  <c r="AJ95" i="3" s="1"/>
  <c r="AK95" i="3" s="1"/>
  <c r="E16" i="2"/>
  <c r="E23" i="2"/>
  <c r="AL7" i="3"/>
  <c r="AH8" i="3"/>
  <c r="AJ8" i="3" s="1"/>
  <c r="AK8" i="3" s="1"/>
  <c r="AH12" i="3"/>
  <c r="AJ12" i="3" s="1"/>
  <c r="AK12" i="3" s="1"/>
  <c r="AL58" i="3"/>
  <c r="AH58" i="3"/>
  <c r="AJ58" i="3" s="1"/>
  <c r="AK58" i="3" s="1"/>
  <c r="AL65" i="3"/>
  <c r="AH65" i="3"/>
  <c r="AJ65" i="3" s="1"/>
  <c r="AK65" i="3" s="1"/>
  <c r="AL76" i="3"/>
  <c r="AH76" i="3"/>
  <c r="AJ76" i="3" s="1"/>
  <c r="AK76" i="3" s="1"/>
  <c r="AJ110" i="3"/>
  <c r="AK110" i="3" s="1"/>
  <c r="AL124" i="3"/>
  <c r="AH124" i="3"/>
  <c r="AJ124" i="3" s="1"/>
  <c r="AK124" i="3" s="1"/>
  <c r="E32" i="2"/>
  <c r="H31" i="2" s="1"/>
  <c r="F32" i="2"/>
  <c r="AL89" i="3"/>
  <c r="AH89" i="3"/>
  <c r="AJ89" i="3" s="1"/>
  <c r="AK89" i="3" s="1"/>
  <c r="AH109" i="3"/>
  <c r="AJ109" i="3" s="1"/>
  <c r="AK109" i="3" s="1"/>
  <c r="AH125" i="3"/>
  <c r="AJ125" i="3" s="1"/>
  <c r="AK125" i="3" s="1"/>
  <c r="AL99" i="3"/>
  <c r="AL115" i="3"/>
  <c r="AL123" i="3"/>
  <c r="AL103" i="3"/>
  <c r="AL107" i="3"/>
  <c r="AL111" i="3"/>
  <c r="AL119" i="3"/>
  <c r="AL127" i="3"/>
  <c r="AL131" i="3"/>
  <c r="AL135" i="3"/>
  <c r="AL139" i="3"/>
  <c r="E14" i="2"/>
  <c r="E25" i="2"/>
  <c r="AH60" i="3"/>
  <c r="AJ60" i="3" s="1"/>
  <c r="AK60" i="3" s="1"/>
  <c r="AH66" i="3"/>
  <c r="AJ66" i="3" s="1"/>
  <c r="AK66" i="3" s="1"/>
  <c r="AH72" i="3"/>
  <c r="AJ72" i="3" s="1"/>
  <c r="AK72" i="3" s="1"/>
  <c r="AH78" i="3"/>
  <c r="AJ78" i="3" s="1"/>
  <c r="AK78" i="3" s="1"/>
  <c r="AH84" i="3"/>
  <c r="AJ84" i="3" s="1"/>
  <c r="AK84" i="3" s="1"/>
  <c r="AH90" i="3"/>
  <c r="AJ90" i="3" s="1"/>
  <c r="AK90" i="3" s="1"/>
  <c r="AH96" i="3"/>
  <c r="AJ96" i="3" s="1"/>
  <c r="AK96" i="3" s="1"/>
  <c r="AK37" i="3"/>
  <c r="AK53" i="3"/>
  <c r="AL98" i="3"/>
  <c r="AL102" i="3"/>
  <c r="AL106" i="3"/>
  <c r="AL110" i="3"/>
  <c r="AL114" i="3"/>
  <c r="AL118" i="3"/>
  <c r="AL122" i="3"/>
  <c r="AL126" i="3"/>
  <c r="AL130" i="3"/>
  <c r="AL134" i="3"/>
  <c r="AK134" i="3"/>
  <c r="AL138" i="3"/>
  <c r="AH82" i="3"/>
  <c r="AJ82" i="3" s="1"/>
  <c r="AK82" i="3" s="1"/>
  <c r="AH88" i="3"/>
  <c r="AJ88" i="3" s="1"/>
  <c r="AK88" i="3" s="1"/>
  <c r="AH94" i="3"/>
  <c r="AJ94" i="3" s="1"/>
  <c r="AK94" i="3" s="1"/>
  <c r="AH99" i="3"/>
  <c r="AJ99" i="3" s="1"/>
  <c r="AK99" i="3" s="1"/>
  <c r="AL101" i="3"/>
  <c r="AH103" i="3"/>
  <c r="AJ103" i="3" s="1"/>
  <c r="AK103" i="3" s="1"/>
  <c r="AL105" i="3"/>
  <c r="AK105" i="3"/>
  <c r="AH107" i="3"/>
  <c r="AJ107" i="3" s="1"/>
  <c r="AK107" i="3" s="1"/>
  <c r="AL109" i="3"/>
  <c r="AH111" i="3"/>
  <c r="AJ111" i="3" s="1"/>
  <c r="AK111" i="3" s="1"/>
  <c r="AL113" i="3"/>
  <c r="AH115" i="3"/>
  <c r="AJ115" i="3" s="1"/>
  <c r="AK115" i="3" s="1"/>
  <c r="AL117" i="3"/>
  <c r="AH119" i="3"/>
  <c r="AJ119" i="3" s="1"/>
  <c r="AK119" i="3" s="1"/>
  <c r="AL121" i="3"/>
  <c r="AH123" i="3"/>
  <c r="AJ123" i="3" s="1"/>
  <c r="AK123" i="3" s="1"/>
  <c r="AL125" i="3"/>
  <c r="AH127" i="3"/>
  <c r="AJ127" i="3" s="1"/>
  <c r="AK127" i="3" s="1"/>
  <c r="AL129" i="3"/>
  <c r="AH131" i="3"/>
  <c r="AJ131" i="3" s="1"/>
  <c r="AK131" i="3" s="1"/>
  <c r="AL133" i="3"/>
  <c r="AH135" i="3"/>
  <c r="AJ135" i="3" s="1"/>
  <c r="AK135" i="3" s="1"/>
  <c r="AL137" i="3"/>
  <c r="AH139" i="3"/>
  <c r="AJ139" i="3" s="1"/>
  <c r="AK139" i="3" s="1"/>
  <c r="H19" i="2" l="1"/>
  <c r="H23" i="2"/>
  <c r="H15" i="2"/>
  <c r="C40" i="2" l="1"/>
  <c r="C38" i="2"/>
</calcChain>
</file>

<file path=xl/sharedStrings.xml><?xml version="1.0" encoding="utf-8"?>
<sst xmlns="http://schemas.openxmlformats.org/spreadsheetml/2006/main" count="732" uniqueCount="381">
  <si>
    <t>mesoestetic® · Project Scoring System — Parámetros del Modelo</t>
  </si>
  <si>
    <t>Celdas en azul = inputs editables · Celdas en negro = fórmulas calculadas · Cambia cualquier valor y todo se recalcula</t>
  </si>
  <si>
    <t>1. Pesos de Dimensiones  (deben sumar 100%)</t>
  </si>
  <si>
    <t xml:space="preserve">  Dimensión</t>
  </si>
  <si>
    <t xml:space="preserve">  Peso (%)</t>
  </si>
  <si>
    <t xml:space="preserve">  Descripción</t>
  </si>
  <si>
    <t>D1 — Compliance / Legal / Riesgo</t>
  </si>
  <si>
    <t>Peso en % (editable)</t>
  </si>
  <si>
    <t>D2 — Estratégico / Prioridad Consejo</t>
  </si>
  <si>
    <t>D3 — ROI / Valor de negocio</t>
  </si>
  <si>
    <t>D4 — Técnica / Madurez TRL</t>
  </si>
  <si>
    <t>D5 — Implantación / Facilidad</t>
  </si>
  <si>
    <t>D6 — Personas / ESG</t>
  </si>
  <si>
    <t>TOTAL (debe ser 100%)</t>
  </si>
  <si>
    <t>2. Parámetros Sigmoid Boost  Boost(S) = max( α₀/(1+2^(−β₀·(S−C₀))), α/(1+2^(−β·(S−C))), 1 )</t>
  </si>
  <si>
    <t>Dim</t>
  </si>
  <si>
    <t>C₀ (base)</t>
  </si>
  <si>
    <t>β₀ (base)</t>
  </si>
  <si>
    <t>α₀ (base)</t>
  </si>
  <si>
    <t>C (boost)</t>
  </si>
  <si>
    <t>β (boost)</t>
  </si>
  <si>
    <t>α (boost)</t>
  </si>
  <si>
    <t>Peso critr.</t>
  </si>
  <si>
    <t>3. Umbrales de Clasificación de Score</t>
  </si>
  <si>
    <t>Prioritario Estratégico ≥</t>
  </si>
  <si>
    <t>Alta Prioridad ≥</t>
  </si>
  <si>
    <t>Prioridad Media ≥</t>
  </si>
  <si>
    <t>Baja Prioridad ≥</t>
  </si>
  <si>
    <t>4. Umbrales de Pools por Horas</t>
  </si>
  <si>
    <t>Corto — máximo horas</t>
  </si>
  <si>
    <t>Medio — máximo horas</t>
  </si>
  <si>
    <t>5. Aging Factor  Score_final = min(Score_base × Aging, 10)   Aging = min(1 + (días/365) × tasa, máximo)</t>
  </si>
  <si>
    <t>Tasa de aging anual</t>
  </si>
  <si>
    <t>Aging máximo</t>
  </si>
  <si>
    <t>mesoestetic® · Evaluación de Proyecto Individual</t>
  </si>
  <si>
    <t>Introduce las notas (1–10) en azul · Todo se calcula automáticamente desde ⚙ Parámetros</t>
  </si>
  <si>
    <t>Datos del Proyecto</t>
  </si>
  <si>
    <t>Nombre del proyecto</t>
  </si>
  <si>
    <t>Área promotora</t>
  </si>
  <si>
    <t>Tipo de proyecto</t>
  </si>
  <si>
    <t>p.ej. Integración, Digitalización, BI...</t>
  </si>
  <si>
    <t>Sponsor ejecutivo</t>
  </si>
  <si>
    <t>Nombre del sponsor</t>
  </si>
  <si>
    <t>Fecha de solicitud</t>
  </si>
  <si>
    <t>dd/mm/aaaa</t>
  </si>
  <si>
    <t>Días en cartera</t>
  </si>
  <si>
    <t>Aging factor</t>
  </si>
  <si>
    <t>Evaluación por Dimensiones  (notas 1–10 en azul → score se calcula automáticamente)</t>
  </si>
  <si>
    <t>Criterio de evaluación</t>
  </si>
  <si>
    <t>Nota
(1–10)</t>
  </si>
  <si>
    <t>Boost
(auto)</t>
  </si>
  <si>
    <t>pw×B×N
(auto)</t>
  </si>
  <si>
    <t>pw×B
(auto)</t>
  </si>
  <si>
    <t>% peso
dim</t>
  </si>
  <si>
    <t>Score
dimensión</t>
  </si>
  <si>
    <t>Clasif.</t>
  </si>
  <si>
    <t>D1</t>
  </si>
  <si>
    <t>Riesgo legal / regulatorio</t>
  </si>
  <si>
    <t>30%</t>
  </si>
  <si>
    <t>Seguridad y PRL</t>
  </si>
  <si>
    <t>Riesgo reputacional</t>
  </si>
  <si>
    <t>20%</t>
  </si>
  <si>
    <t>Obligación normativa</t>
  </si>
  <si>
    <t>D2</t>
  </si>
  <si>
    <t>Mandato del Consejo</t>
  </si>
  <si>
    <t>35%</t>
  </si>
  <si>
    <t>Expansión internacional</t>
  </si>
  <si>
    <t>25%</t>
  </si>
  <si>
    <t>Innovación / I+D</t>
  </si>
  <si>
    <t>Urgencia estratégica</t>
  </si>
  <si>
    <t>D3</t>
  </si>
  <si>
    <t>Impacto en ingresos</t>
  </si>
  <si>
    <t>Ahorro de costes</t>
  </si>
  <si>
    <t>ROI y payback</t>
  </si>
  <si>
    <t>Calidad y servicio</t>
  </si>
  <si>
    <t>D4</t>
  </si>
  <si>
    <t>Madurez tecnológica (TRL)</t>
  </si>
  <si>
    <t>Integración con ERP/sistemas</t>
  </si>
  <si>
    <t>Escalabilidad</t>
  </si>
  <si>
    <t>Ciberseguridad / GDPR</t>
  </si>
  <si>
    <t>D5</t>
  </si>
  <si>
    <t>Capacidad interna IT</t>
  </si>
  <si>
    <t>Gestión del cambio</t>
  </si>
  <si>
    <t>Time-to-value</t>
  </si>
  <si>
    <t>D6</t>
  </si>
  <si>
    <t>Experiencia del empleado</t>
  </si>
  <si>
    <t>Sostenibilidad / ESG</t>
  </si>
  <si>
    <t>Formación y cultura</t>
  </si>
  <si>
    <t>Resultado Final</t>
  </si>
  <si>
    <t>Score base (sin aging)</t>
  </si>
  <si>
    <t>SCORE FINAL</t>
  </si>
  <si>
    <t>Clasificación</t>
  </si>
  <si>
    <t>Horas estimadas</t>
  </si>
  <si>
    <t>Pool</t>
  </si>
  <si>
    <t>mesoestetic® · Cartera de Proyectos — Scoring Automático</t>
  </si>
  <si>
    <t>Introduce notas 1–10 en las columnas D–Y (en azul) · El scoring se calcula automáticamente · Parámetros configurables en ⚙ Parámetros</t>
  </si>
  <si>
    <t>#</t>
  </si>
  <si>
    <t>Área</t>
  </si>
  <si>
    <t>Sponsor</t>
  </si>
  <si>
    <t>Fecha solicitud</t>
  </si>
  <si>
    <t>Base</t>
  </si>
  <si>
    <t>Aging</t>
  </si>
  <si>
    <t>FINAL</t>
  </si>
  <si>
    <t>D1≥8</t>
  </si>
  <si>
    <t>Horas</t>
  </si>
  <si>
    <t>Nombre</t>
  </si>
  <si>
    <t>Fecha</t>
  </si>
  <si>
    <t>R.legal</t>
  </si>
  <si>
    <t>PRL</t>
  </si>
  <si>
    <t>Reput.</t>
  </si>
  <si>
    <t>Reg.</t>
  </si>
  <si>
    <t>Consejo</t>
  </si>
  <si>
    <t>Int.</t>
  </si>
  <si>
    <t>I+D</t>
  </si>
  <si>
    <t>Urg.</t>
  </si>
  <si>
    <t>Ingr.</t>
  </si>
  <si>
    <t>Ahorro</t>
  </si>
  <si>
    <t>ROI</t>
  </si>
  <si>
    <t>Cal.</t>
  </si>
  <si>
    <t>TRL</t>
  </si>
  <si>
    <t>Integr.</t>
  </si>
  <si>
    <t>Esc.</t>
  </si>
  <si>
    <t>GDPR</t>
  </si>
  <si>
    <t>Cap.IT</t>
  </si>
  <si>
    <t>Cambio</t>
  </si>
  <si>
    <t>TtV</t>
  </si>
  <si>
    <t>Emp.</t>
  </si>
  <si>
    <t>ESG</t>
  </si>
  <si>
    <t>Form.</t>
  </si>
  <si>
    <t>Final</t>
  </si>
  <si>
    <t>MPG-FIN-006_01 Nuevas necesidades de BLOQUEO de clientes y de integraición CYC</t>
  </si>
  <si>
    <t>Finanzas y control</t>
  </si>
  <si>
    <t>Fernando García</t>
  </si>
  <si>
    <t>23/12/2024</t>
  </si>
  <si>
    <t>MPG-LOG-065 Integración almacén DSV</t>
  </si>
  <si>
    <t>Supply chain y logística</t>
  </si>
  <si>
    <t>Marc Bometon</t>
  </si>
  <si>
    <t>21/04/2026</t>
  </si>
  <si>
    <t>Transversal</t>
  </si>
  <si>
    <t>Joan Valverde</t>
  </si>
  <si>
    <t>23/04/2026</t>
  </si>
  <si>
    <t>MPG-CAL-018 COA - Firma electronica</t>
  </si>
  <si>
    <t>Regulatorio y calidad</t>
  </si>
  <si>
    <t>14/01/2026</t>
  </si>
  <si>
    <t>MPG-COM-014 Integracion DocuWare - D365</t>
  </si>
  <si>
    <t>30/06/2025</t>
  </si>
  <si>
    <t>MPG-VTA-006_1 Integracion B2B --&gt; MiddleWare</t>
  </si>
  <si>
    <t>Ventas y marketing</t>
  </si>
  <si>
    <t>24/03/2026</t>
  </si>
  <si>
    <t>MPG-CAL-025 Mejoras de calidad - alerta PDA</t>
  </si>
  <si>
    <t>25/11/2025</t>
  </si>
  <si>
    <t>MPG-LOG-041_01  PDA (REABASTECER/TRF) - Mejoras</t>
  </si>
  <si>
    <t>20/02/2026</t>
  </si>
  <si>
    <t>MPG-CAL-011 Informe caducidad materia prima</t>
  </si>
  <si>
    <t>13/09/2024</t>
  </si>
  <si>
    <t>MPG-LOG-066 Liberación de cargas y confirmación. Superbotón</t>
  </si>
  <si>
    <t>14/05/2026</t>
  </si>
  <si>
    <t>MPG-VTA-006_02_02 Endpoint getCustomers</t>
  </si>
  <si>
    <t>25/03/2026</t>
  </si>
  <si>
    <t>MPG-VTA-024 Tarjeta regalo ecom</t>
  </si>
  <si>
    <t>Judit Sanchez</t>
  </si>
  <si>
    <t>15/07/2025</t>
  </si>
  <si>
    <t>MPG-CAL-002_01 Cambio para muestreo Military estándar</t>
  </si>
  <si>
    <t>Silvia Martin</t>
  </si>
  <si>
    <t>MPG-LOG-068 Notas de advertencia y peligro. Intralogística</t>
  </si>
  <si>
    <t>07/05/2026</t>
  </si>
  <si>
    <t>MPG-COM-016 Aviso de la cantidad de muestra al crear líneas de PC</t>
  </si>
  <si>
    <t>Julio Cesar Escobar Ascanio</t>
  </si>
  <si>
    <t>03/07/2025</t>
  </si>
  <si>
    <t>MPG-FIN-023 Tickelia Importacion tickets + Guardar Foto</t>
  </si>
  <si>
    <t>10/06/2025</t>
  </si>
  <si>
    <t>MPG-FIN-005 Campos obligatorios clientes/proveedores</t>
  </si>
  <si>
    <t>12/09/2024</t>
  </si>
  <si>
    <t>MPG-CAL-019_01 Formulario pedidos calidad</t>
  </si>
  <si>
    <t>MPG-FIN-030 Integración para conciliación massiva de cobros</t>
  </si>
  <si>
    <t>MPG-FIN-006_03 Problemas CYC_Mejoras</t>
  </si>
  <si>
    <t>Alberto Fernández</t>
  </si>
  <si>
    <t>17/03/2026</t>
  </si>
  <si>
    <t>MPG-LOG-043_03_1 Pesadas - Cancelación trabajos + ud. de fórmula</t>
  </si>
  <si>
    <t>Laura Ortíz</t>
  </si>
  <si>
    <t>02/02/2026</t>
  </si>
  <si>
    <t>MPG-PRO-004_01 Mejoras informe loteado múltiple</t>
  </si>
  <si>
    <t>Producción</t>
  </si>
  <si>
    <t>20/01/2026</t>
  </si>
  <si>
    <t>Herencia de datos en la generación de CoA (MPG-CAL-010)</t>
  </si>
  <si>
    <t>13/03/2026</t>
  </si>
  <si>
    <t>MPG-CAL-003_01 Asociaciones de calidad - ERROR Al recibir Transferencia</t>
  </si>
  <si>
    <t>23/01/2026</t>
  </si>
  <si>
    <t>MPG-CAL-028 Bloqueos de Inventario con fecha de recepción vencida</t>
  </si>
  <si>
    <t>Marta Sánchez Pérez</t>
  </si>
  <si>
    <t>09/03/2026</t>
  </si>
  <si>
    <t>MPG-VTA-006_02_04 Endpoint getTariffs()</t>
  </si>
  <si>
    <t>Alberto Plaza Nieto</t>
  </si>
  <si>
    <t>[Externo] Bulk invoices download</t>
  </si>
  <si>
    <t>12/05/2026</t>
  </si>
  <si>
    <t>MPG-CAL-010_01 Mejoras Certificado calidad</t>
  </si>
  <si>
    <t>MPG-COM-022 Activar avisos a proveedores pedidos de compra a recibir</t>
  </si>
  <si>
    <t>10/03/2026</t>
  </si>
  <si>
    <t>MPG-VTA-006_2 Sincronizar datos cliente - b2b magento</t>
  </si>
  <si>
    <t>Xavier Mestres</t>
  </si>
  <si>
    <t>MPG-CAL-017 Notas en las PDA</t>
  </si>
  <si>
    <t>01/07/2025</t>
  </si>
  <si>
    <t>MPG-VTA-006_02_03 Endpoint updateStocks</t>
  </si>
  <si>
    <t>Actualizar dias de calidad bloqueo de inventario +entidad InventBlocking</t>
  </si>
  <si>
    <t>18/05/2026</t>
  </si>
  <si>
    <t>MPG-PRO-012 Descargar en formato word/pdf albaranes de pesada.</t>
  </si>
  <si>
    <t>29/01/2026</t>
  </si>
  <si>
    <t>MPG-VTA-006_02_05 Endpoint setOrder</t>
  </si>
  <si>
    <t>Oscar Cayuela</t>
  </si>
  <si>
    <t>MPG-VTA-006_02 Integracion B2B --&gt; Magento - Middleware - Dynamics</t>
  </si>
  <si>
    <t>20/03/2026</t>
  </si>
  <si>
    <t>MPG-VTA-006_01 MAGENTO PL - Locker Num, promotions y stock</t>
  </si>
  <si>
    <t>04/02/2026</t>
  </si>
  <si>
    <t>Auditoria 2025 - contabilidad</t>
  </si>
  <si>
    <t>20/05/2026</t>
  </si>
  <si>
    <t>RE: Lentitud entradas</t>
  </si>
  <si>
    <t>18/02/2026</t>
  </si>
  <si>
    <t>MPG-CAL-021 Trazabilidad de ventas</t>
  </si>
  <si>
    <t>14/07/2025</t>
  </si>
  <si>
    <t>MPG-CAL-005 Alertas pedidos de calidad pendiente</t>
  </si>
  <si>
    <t>MPG-LOG-043_04 Pesadas - Lectura radiofrecuencia</t>
  </si>
  <si>
    <t>03/02/2026</t>
  </si>
  <si>
    <t>MPG-FIN-007 Anulación crédito concedido ante siniestro</t>
  </si>
  <si>
    <t>MPG-LOG-043_03_4 Pesadas - Detalle de ajuste en cantidad pesada + mejoras formularios</t>
  </si>
  <si>
    <t>MPG-COM-004_03 Portal Proveedor - Envíos automáticos informes</t>
  </si>
  <si>
    <t>MPG-CAL-016 Mejoras en aprobación de Certificado de análisis calidad</t>
  </si>
  <si>
    <t>05/06/2025</t>
  </si>
  <si>
    <t>[Externo] Error gestion herencia de Lotes</t>
  </si>
  <si>
    <t>Anna Anglada</t>
  </si>
  <si>
    <t>23/02/2026</t>
  </si>
  <si>
    <t>MPG-INTC-010 Bloqueo de edición de pedidos interco mediante check</t>
  </si>
  <si>
    <t>Transversal / Intercompany</t>
  </si>
  <si>
    <t>06/02/2026</t>
  </si>
  <si>
    <t>Error al acceder al formulario de pesadas de transferencias</t>
  </si>
  <si>
    <t>13/02/2026</t>
  </si>
  <si>
    <t>REGULATORY - Productos no aparecen</t>
  </si>
  <si>
    <t>Ernesto Morcillo Parejo</t>
  </si>
  <si>
    <t>25/02/2026</t>
  </si>
  <si>
    <t>MPG-IDI-001 Integración con COPTIS</t>
  </si>
  <si>
    <t>I+D y laboratorio</t>
  </si>
  <si>
    <t>16/06/2025</t>
  </si>
  <si>
    <t>MPG-VTA-042 Facturas Información extra en el mail</t>
  </si>
  <si>
    <t>MPG-COM-017 Prioridad pedidos de calidad en pedidos de compra</t>
  </si>
  <si>
    <t>Joan Almagro</t>
  </si>
  <si>
    <t>27/08/2025</t>
  </si>
  <si>
    <t>MPG-CAL-012 Trazabilidad y rendimiento de BULKS</t>
  </si>
  <si>
    <t>04/04/2025</t>
  </si>
  <si>
    <t>Empty VAT number for LTU orders - automatic value BRAK. to be assigned (SF integration)</t>
  </si>
  <si>
    <t>Eduard Romeu</t>
  </si>
  <si>
    <t>18/03/2026</t>
  </si>
  <si>
    <t>MPG-IDI-005 Pedir MP a almacén</t>
  </si>
  <si>
    <t>16/07/2025</t>
  </si>
  <si>
    <t>MPG-RRHH-011 Vista entidad IMPORTABLE / EXPORTABLE massivamente DATOS EMPLEADO</t>
  </si>
  <si>
    <t>RRHH</t>
  </si>
  <si>
    <t>MPG-LOG-064 Lectura libre de matrículas en menú de envío de matrículas facturadas (WMS)</t>
  </si>
  <si>
    <t>09/09/2025</t>
  </si>
  <si>
    <t>MPG-PRO-013 Requerimiento Notificación de unidades y devolución material</t>
  </si>
  <si>
    <t>Eliminación artículo en pedido y mail de aviso</t>
  </si>
  <si>
    <t>17/04/2026</t>
  </si>
  <si>
    <t>MPG-PLN-016 Quitar Nombre de Materia Prima en fabricaciones externalizadas</t>
  </si>
  <si>
    <t>Planificación</t>
  </si>
  <si>
    <t>16/04/2026</t>
  </si>
  <si>
    <t>MPG-VTA-056 Campo de Importe pendiente de facturar en Todos los pedidos  de venta</t>
  </si>
  <si>
    <t>Carlos Cano</t>
  </si>
  <si>
    <t>30/04/2026</t>
  </si>
  <si>
    <t>MPG-OFT-006 ECOEMBES</t>
  </si>
  <si>
    <t>Gestión artículos</t>
  </si>
  <si>
    <t>29/05/2025</t>
  </si>
  <si>
    <t>MPG-VTA-016 Control errores de liberación pedidos venta al almacén</t>
  </si>
  <si>
    <t>05/02/2026</t>
  </si>
  <si>
    <t>MPG-PROY-008 Mejoras simples en proyectos</t>
  </si>
  <si>
    <t>Gestión proyectos</t>
  </si>
  <si>
    <t>16/10/2025</t>
  </si>
  <si>
    <t>MPG-VTA-003_04 SALESFORCE Pedidos PUBLI</t>
  </si>
  <si>
    <t>Marcelo Gazcón</t>
  </si>
  <si>
    <t>MPG-VTAS-059 Campo origen de producto en FACTURA</t>
  </si>
  <si>
    <t>MPG-LOG-043_03_3 Pesadas - Movimiento de carros.</t>
  </si>
  <si>
    <t>MPG-LOG-043_03_6 Pesadas - Cancelación automática de reservas y trabajos</t>
  </si>
  <si>
    <t>MPG-PRO-017 Fabricación de packs con stock en Meso</t>
  </si>
  <si>
    <t>17/02/2026</t>
  </si>
  <si>
    <t>MPG-VTA-012 Campo "Trade" ficha cliente</t>
  </si>
  <si>
    <t>MPG-VTA-038 Devolución "Nota de abono" sin movimiento inventario</t>
  </si>
  <si>
    <t>11/02/2026</t>
  </si>
  <si>
    <t>Carga histórico Kits en lineas de factura</t>
  </si>
  <si>
    <t>09/04/2026</t>
  </si>
  <si>
    <t>MPG-PLN-015 Mostrar Lote proveedor en pantallas</t>
  </si>
  <si>
    <t>MPG-PROY-006 Gestión recursos proyecto</t>
  </si>
  <si>
    <t>06/08/2025</t>
  </si>
  <si>
    <t>MPG-INTC-006 Formulario para recuento masivo en MESO</t>
  </si>
  <si>
    <t>14/04/2025</t>
  </si>
  <si>
    <t>MPG-VTA-041 Importar pedidos TRADE Szendex ESPAÑA</t>
  </si>
  <si>
    <t>MPG-GEN-002 Exportar documentos a ubicación massivamente</t>
  </si>
  <si>
    <t>16/05/2025</t>
  </si>
  <si>
    <t>MPG-PRO-011 Configuración de tamaño de pedido distinto para producciones y transferencias dentro del mismo sitio.</t>
  </si>
  <si>
    <t>10/10/2025</t>
  </si>
  <si>
    <t>MPG-IDI-003 Pantalla de precios activos</t>
  </si>
  <si>
    <t>02/07/2025</t>
  </si>
  <si>
    <t>MPG-INTC-003_01 Mejora proceso RMA Intercompany</t>
  </si>
  <si>
    <t>Victor Miguel Figuer</t>
  </si>
  <si>
    <t>MPG-FIN-031 Actualización código CYC en ficha cliente</t>
  </si>
  <si>
    <t>29/04/2026</t>
  </si>
  <si>
    <t>MPG-VTA-021 Líneas de pedido pendiente</t>
  </si>
  <si>
    <t>26/06/2025</t>
  </si>
  <si>
    <t>MPG-LOG-043_03_2 Pesadas - Consolidación matrículas</t>
  </si>
  <si>
    <t>Iván Álvarez</t>
  </si>
  <si>
    <t>MPG-PRO-014 Control de selección automática al liberar OFs</t>
  </si>
  <si>
    <t>16/01/2026</t>
  </si>
  <si>
    <t>MPG-GEN-003 Exportar datos D365 a mediante DataLake y Synapse a DWH</t>
  </si>
  <si>
    <t>12/06/2025</t>
  </si>
  <si>
    <t>ELIMINACIÓN MASIVA DE RESERVAS DE UN PEDIDO</t>
  </si>
  <si>
    <t>MPG-COM-018 Tarifas que caducan (Alerta)</t>
  </si>
  <si>
    <t>04/09/2025</t>
  </si>
  <si>
    <t>MPG-COM-015 Ciclo de vida del artículo</t>
  </si>
  <si>
    <t>Rappels Compras</t>
  </si>
  <si>
    <t>Alberto Fernandez</t>
  </si>
  <si>
    <t>MPG-LOG-005_002 Integración Kardex --&gt; Ordenación Trabajos y envío matrícula</t>
  </si>
  <si>
    <t>Omar Folqués</t>
  </si>
  <si>
    <t>MPG-MKD-001 Integración proyecto PIM. Portal dentralizador del producto</t>
  </si>
  <si>
    <t>MPG-LOG-009 _02 Mensaje UPS AccesPOINT</t>
  </si>
  <si>
    <t>MPG-VTA-010 Cálculo de nivel de servicio (SLA)</t>
  </si>
  <si>
    <t>MPG-LOG-048 Transferencias entrada confirmación masiva</t>
  </si>
  <si>
    <t>09/02/2026</t>
  </si>
  <si>
    <t>MPG-LOG-044 Copiar GTIN 13 de MPG  a todas las empresas</t>
  </si>
  <si>
    <t>18/11/2025</t>
  </si>
  <si>
    <t>MPG-PROY-002 Formulario mis actividades por proyecto</t>
  </si>
  <si>
    <t>MPG-LOG-057 Packing envío - Notificaciones (0-PT y Kardex)</t>
  </si>
  <si>
    <t>12/02/2026</t>
  </si>
  <si>
    <t>Informar el No de Pedido en el cuerpo del mensaje usando la gestión de impresión</t>
  </si>
  <si>
    <t>MPG_INTC-004_1 Recuentos ajustes en MESO desde pantalla</t>
  </si>
  <si>
    <t>MPG-VTA-057 Validación de correo electrónica en ficha</t>
  </si>
  <si>
    <t>04/05/2026</t>
  </si>
  <si>
    <t>MPG-VTA-055 Linea de artículo KIT en Informe</t>
  </si>
  <si>
    <t>MPG-LOG-044 Empaquetado de todos los artículos pendientes de envío</t>
  </si>
  <si>
    <t>Àngel Milla</t>
  </si>
  <si>
    <t>16/03/2026</t>
  </si>
  <si>
    <t>MPG-PROY-012 Filtros predeterminados (XDS) en la gestión de proyectos para poder segmentar la visualización/acceso a los mismos</t>
  </si>
  <si>
    <t>Joan Antoni Munsó</t>
  </si>
  <si>
    <t>MPG-PRO-016 Desarrollo Ajustar cantidades de OFs según consumos en bloque</t>
  </si>
  <si>
    <t>MPG-CAL-022 Mail al entrar productos con NOTA</t>
  </si>
  <si>
    <t>29/10/2025</t>
  </si>
  <si>
    <t>MPG-VTA-026 Previsión de demandas en disponible PV</t>
  </si>
  <si>
    <t>MPG-LOG-030 Gestión y destrucción de obsoletos</t>
  </si>
  <si>
    <t>MPG-OFT-007 Modulo Obsoletos</t>
  </si>
  <si>
    <t>MPG-MAN-001 Informe tiempos respuesta incidencias</t>
  </si>
  <si>
    <t>Mantenimiento</t>
  </si>
  <si>
    <t>MPG-COM-005 Informes 100 mejores proveedores</t>
  </si>
  <si>
    <t>MPG-COM-003 Informe proveedores aprobados</t>
  </si>
  <si>
    <t>26/01/2023</t>
  </si>
  <si>
    <t>MPG-RRHH-008 Información detalle nómina en ficha empleado</t>
  </si>
  <si>
    <t>17/09/2024</t>
  </si>
  <si>
    <t>MPG-LOG-067 Mejora en proceso de captura de peso de contenedores</t>
  </si>
  <si>
    <t>MPG-INTC-003_03 Mover material a ubicación definitiva antes de registrar albarán</t>
  </si>
  <si>
    <t>14/04/2026</t>
  </si>
  <si>
    <t>MPG-LOG-055 Contenedores - Agrupación Pallets automática</t>
  </si>
  <si>
    <t>MPG-LOG-050 Impresión de etiquetas de Oleada</t>
  </si>
  <si>
    <t>MPG-LOG-035 Recepción artículos solicitud de compra</t>
  </si>
  <si>
    <t>01/09/2025</t>
  </si>
  <si>
    <t>MPG-MAN-003 Alerta mantenimiento activos</t>
  </si>
  <si>
    <t>13/10/2025</t>
  </si>
  <si>
    <t>MPG-VTA-023_01 Forzar reservas saltando validación Coberturas stock</t>
  </si>
  <si>
    <t>MPG-LOG-056 Colas trabajos reabastecimiento</t>
  </si>
  <si>
    <t>MPG-VTA-036 Nombre producto Lineas pendientes</t>
  </si>
  <si>
    <t>08/01/2026</t>
  </si>
  <si>
    <t>MPG-MAN-002 Validación de responsable de las líneas de orden de trabajo</t>
  </si>
  <si>
    <t>05/08/2025</t>
  </si>
  <si>
    <t>MPG-LOG-034_01 Añadir Nombre a tablas de códigos de entrada de RFID</t>
  </si>
  <si>
    <t>MPG-LOG-008_02 Insertar valores de cantidad Total y cantidad empaquetada</t>
  </si>
  <si>
    <t>David Peran</t>
  </si>
  <si>
    <t>MPG-LOG-060 Clusters</t>
  </si>
  <si>
    <t>MPG-LOG-059 Envíos UPS internacional</t>
  </si>
  <si>
    <t>MPG-LOG-058 Hoja de expedición - Formato nacional e internacional</t>
  </si>
  <si>
    <t>MPG-LOG-054 Reapertura contenedores y reimpresión etiquetas</t>
  </si>
  <si>
    <t>MPG-LOG-053 Estructura contenedores</t>
  </si>
  <si>
    <t>MPG-MAN-004 Plan de mantenimiento de activos</t>
  </si>
  <si>
    <t>17/10/2025</t>
  </si>
  <si>
    <t>MPG-OFT-008 Historial de cambios de estado artículos</t>
  </si>
  <si>
    <t>18/07/2025</t>
  </si>
  <si>
    <t>MPG-PLM-009 Calculo de producción</t>
  </si>
  <si>
    <t>MPG-PLM-008 Explosión de estructuras</t>
  </si>
  <si>
    <t>MPG-PRO-010 Consumo ordenado</t>
  </si>
  <si>
    <t>11/03/2025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</si>
</sst>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\×"/>
  </numFmts>
  <fonts count="58" x14ac:knownFonts="1">
    <font>
      <sz val="11"/>
      <color theme="1"/>
      <name val="Calibri"/>
      <family val="2"/>
      <charset val="1"/>
    </font>
    <font>
      <b/>
      <i/>
      <sz val="14"/>
      <color rgb="FFC4974A"/>
      <name val="Arial"/>
      <family val="2"/>
    </font>
    <font>
      <i/>
      <sz val="8"/>
      <color rgb="FF484848"/>
      <name val="Arial"/>
      <family val="2"/>
    </font>
    <font>
      <b/>
      <i/>
      <sz val="11"/>
      <color rgb="FFC4974A"/>
      <name val="Arial"/>
      <family val="2"/>
    </font>
    <font>
      <b/>
      <sz val="8"/>
      <color rgb="FFAAAAAA"/>
      <name val="Arial"/>
      <family val="2"/>
    </font>
    <font>
      <b/>
      <sz val="10"/>
      <color rgb="FFCC1F26"/>
      <name val="Arial"/>
      <family val="2"/>
    </font>
    <font>
      <b/>
      <sz val="12"/>
      <color rgb="FF0070C0"/>
      <name val="Arial"/>
      <family val="2"/>
    </font>
    <font>
      <sz val="8"/>
      <color rgb="FFAAAAAA"/>
      <name val="Arial"/>
      <family val="2"/>
    </font>
    <font>
      <b/>
      <sz val="10"/>
      <color rgb="FFC4974A"/>
      <name val="Arial"/>
      <family val="2"/>
    </font>
    <font>
      <b/>
      <sz val="10"/>
      <color rgb="FF087B50"/>
      <name val="Arial"/>
      <family val="2"/>
    </font>
    <font>
      <b/>
      <sz val="10"/>
      <color rgb="FFC07800"/>
      <name val="Arial"/>
      <family val="2"/>
    </font>
    <font>
      <b/>
      <sz val="10"/>
      <color rgb="FF1848A0"/>
      <name val="Arial"/>
      <family val="2"/>
    </font>
    <font>
      <b/>
      <sz val="10"/>
      <color rgb="FF5C6570"/>
      <name val="Arial"/>
      <family val="2"/>
    </font>
    <font>
      <b/>
      <sz val="9"/>
      <color rgb="FF141414"/>
      <name val="Arial"/>
      <family val="2"/>
    </font>
    <font>
      <b/>
      <sz val="12"/>
      <color rgb="FF000000"/>
      <name val="Arial"/>
      <family val="2"/>
    </font>
    <font>
      <sz val="9"/>
      <color rgb="FF087B50"/>
      <name val="Arial"/>
      <family val="2"/>
    </font>
    <font>
      <b/>
      <sz val="8"/>
      <color rgb="FFC4974A"/>
      <name val="Arial"/>
      <family val="2"/>
    </font>
    <font>
      <b/>
      <sz val="8"/>
      <color rgb="FFFFFFFF"/>
      <name val="Arial"/>
      <family val="2"/>
    </font>
    <font>
      <b/>
      <sz val="9"/>
      <color rgb="FFCC1F26"/>
      <name val="Arial"/>
      <family val="2"/>
    </font>
    <font>
      <b/>
      <sz val="11"/>
      <color rgb="FF0070C0"/>
      <name val="Arial"/>
      <family val="2"/>
    </font>
    <font>
      <b/>
      <sz val="9"/>
      <color rgb="FFC4974A"/>
      <name val="Arial"/>
      <family val="2"/>
    </font>
    <font>
      <b/>
      <sz val="9"/>
      <color rgb="FF087B50"/>
      <name val="Arial"/>
      <family val="2"/>
    </font>
    <font>
      <b/>
      <sz val="9"/>
      <color rgb="FFC07800"/>
      <name val="Arial"/>
      <family val="2"/>
    </font>
    <font>
      <b/>
      <sz val="9"/>
      <color rgb="FF1848A0"/>
      <name val="Arial"/>
      <family val="2"/>
    </font>
    <font>
      <b/>
      <sz val="9"/>
      <color rgb="FF5C6570"/>
      <name val="Arial"/>
      <family val="2"/>
    </font>
    <font>
      <sz val="9"/>
      <color rgb="FF666666"/>
      <name val="Arial"/>
      <family val="2"/>
    </font>
    <font>
      <sz val="10"/>
      <color rgb="FF141414"/>
      <name val="Arial"/>
      <family val="2"/>
    </font>
    <font>
      <sz val="11"/>
      <color rgb="FF0070C0"/>
      <name val="Arial"/>
      <family val="2"/>
    </font>
    <font>
      <sz val="11"/>
      <color rgb="FFAAAAAA"/>
      <name val="Arial"/>
      <family val="2"/>
    </font>
    <font>
      <sz val="9"/>
      <color rgb="FF000000"/>
      <name val="Arial"/>
      <family val="2"/>
    </font>
    <font>
      <sz val="9"/>
      <color rgb="FF141414"/>
      <name val="Arial"/>
      <family val="2"/>
    </font>
    <font>
      <b/>
      <sz val="13"/>
      <color rgb="FF0070C0"/>
      <name val="Arial"/>
      <family val="2"/>
    </font>
    <font>
      <sz val="10"/>
      <color rgb="FF000000"/>
      <name val="Arial"/>
      <family val="2"/>
    </font>
    <font>
      <b/>
      <sz val="16"/>
      <color rgb="FFC4974A"/>
      <name val="Arial"/>
      <family val="2"/>
    </font>
    <font>
      <b/>
      <sz val="13"/>
      <color rgb="FF000000"/>
      <name val="Arial"/>
      <family val="2"/>
    </font>
    <font>
      <b/>
      <sz val="18"/>
      <color rgb="FFC4974A"/>
      <name val="Arial"/>
      <family val="2"/>
    </font>
    <font>
      <b/>
      <sz val="11"/>
      <color rgb="FF000000"/>
      <name val="Arial"/>
      <family val="2"/>
    </font>
    <font>
      <sz val="8"/>
      <color rgb="FF666666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8"/>
      <color rgb="FFCC1F26"/>
      <name val="Arial"/>
      <family val="2"/>
    </font>
    <font>
      <b/>
      <sz val="8"/>
      <color rgb="FF087B50"/>
      <name val="Arial"/>
      <family val="2"/>
    </font>
    <font>
      <b/>
      <sz val="8"/>
      <color rgb="FFC07800"/>
      <name val="Arial"/>
      <family val="2"/>
    </font>
    <font>
      <b/>
      <sz val="8"/>
      <color rgb="FF1848A0"/>
      <name val="Arial"/>
      <family val="2"/>
    </font>
    <font>
      <b/>
      <sz val="8"/>
      <color rgb="FF5C6570"/>
      <name val="Arial"/>
      <family val="2"/>
    </font>
    <font>
      <b/>
      <sz val="9"/>
      <color rgb="FFAAAAAA"/>
      <name val="Arial"/>
      <family val="2"/>
    </font>
    <font>
      <sz val="8"/>
      <color rgb="FF0070C0"/>
      <name val="Arial"/>
      <family val="2"/>
    </font>
    <font>
      <sz val="9"/>
      <color rgb="FF0070C0"/>
      <name val="Arial"/>
      <family val="2"/>
    </font>
    <font>
      <sz val="11"/>
      <color rgb="FF141414"/>
      <name val="Arial"/>
      <family val="2"/>
    </font>
    <font>
      <b/>
      <sz val="11"/>
      <color rgb="FFCC1F26"/>
      <name val="Arial"/>
      <family val="2"/>
    </font>
    <font>
      <b/>
      <sz val="11"/>
      <color rgb="FFC4974A"/>
      <name val="Arial"/>
      <family val="2"/>
    </font>
    <font>
      <b/>
      <sz val="11"/>
      <color rgb="FFC07800"/>
      <name val="Arial"/>
      <family val="2"/>
    </font>
    <font>
      <b/>
      <sz val="11"/>
      <color rgb="FF1848A0"/>
      <name val="Arial"/>
      <family val="2"/>
    </font>
    <font>
      <b/>
      <sz val="11"/>
      <color rgb="FF5C6570"/>
      <name val="Arial"/>
      <family val="2"/>
    </font>
    <font>
      <b/>
      <sz val="13"/>
      <color rgb="FFC4974A"/>
      <name val="Arial"/>
      <family val="2"/>
    </font>
    <font>
      <b/>
      <sz val="9"/>
      <color rgb="FF000000"/>
      <name val="Arial"/>
      <family val="2"/>
    </font>
    <font>
      <b/>
      <sz val="10"/>
      <color rgb="FF0070C0"/>
      <name val="Arial"/>
      <family val="2"/>
    </font>
    <font>
      <b/>
      <sz val="11"/>
      <color rgb="FF087B5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080808"/>
        <bgColor rgb="FF000000"/>
      </patternFill>
    </fill>
    <fill>
      <patternFill patternType="solid">
        <fgColor rgb="FFF7F7F5"/>
        <bgColor rgb="FFF4F5F6"/>
      </patternFill>
    </fill>
    <fill>
      <patternFill patternType="solid">
        <fgColor rgb="FFFEF0F1"/>
        <bgColor rgb="FFFAF6EC"/>
      </patternFill>
    </fill>
    <fill>
      <patternFill patternType="solid">
        <fgColor rgb="FFFAF6EC"/>
        <bgColor rgb="FFFAF5E6"/>
      </patternFill>
    </fill>
    <fill>
      <patternFill patternType="solid">
        <fgColor rgb="FFFFFFFF"/>
        <bgColor rgb="FFF7F7F5"/>
      </patternFill>
    </fill>
    <fill>
      <patternFill patternType="solid">
        <fgColor rgb="FFECF8F3"/>
        <bgColor rgb="FFEEF3FC"/>
      </patternFill>
    </fill>
    <fill>
      <patternFill patternType="solid">
        <fgColor rgb="FFFAF5E6"/>
        <bgColor rgb="FFFAF6EC"/>
      </patternFill>
    </fill>
    <fill>
      <patternFill patternType="solid">
        <fgColor rgb="FFEEF3FC"/>
        <bgColor rgb="FFF4F5F6"/>
      </patternFill>
    </fill>
    <fill>
      <patternFill patternType="solid">
        <fgColor rgb="FFF4F5F6"/>
        <bgColor rgb="FFF7F7F5"/>
      </patternFill>
    </fill>
    <fill>
      <patternFill patternType="solid">
        <fgColor rgb="FFC4974A"/>
        <bgColor rgb="FFC07800"/>
      </patternFill>
    </fill>
    <fill>
      <patternFill patternType="solid">
        <fgColor rgb="FFCC1F26"/>
        <bgColor rgb="FF993366"/>
      </patternFill>
    </fill>
    <fill>
      <patternFill patternType="solid">
        <fgColor rgb="FF087B50"/>
        <bgColor rgb="FF008080"/>
      </patternFill>
    </fill>
    <fill>
      <patternFill patternType="solid">
        <fgColor rgb="FFC07800"/>
        <bgColor rgb="FFC4974A"/>
      </patternFill>
    </fill>
    <fill>
      <patternFill patternType="solid">
        <fgColor rgb="FF1848A0"/>
        <bgColor rgb="FF003366"/>
      </patternFill>
    </fill>
    <fill>
      <patternFill patternType="solid">
        <fgColor rgb="FF5C6570"/>
        <bgColor rgb="FF666666"/>
      </patternFill>
    </fill>
  </fills>
  <borders count="9">
    <border>
      <left/>
      <right/>
      <top/>
      <bottom/>
      <diagonal/>
    </border>
    <border>
      <left style="thin">
        <color rgb="FFE2E2E2"/>
      </left>
      <right style="thin">
        <color rgb="FFE2E2E2"/>
      </right>
      <top style="thin">
        <color rgb="FFE2E2E2"/>
      </top>
      <bottom style="thin">
        <color rgb="FFE2E2E2"/>
      </bottom>
      <diagonal/>
    </border>
    <border>
      <left style="thin">
        <color rgb="FF080808"/>
      </left>
      <right style="thin">
        <color rgb="FF080808"/>
      </right>
      <top style="thin">
        <color rgb="FF080808"/>
      </top>
      <bottom style="thin">
        <color rgb="FF080808"/>
      </bottom>
      <diagonal/>
    </border>
    <border>
      <left style="thin">
        <color rgb="FFCC1F26"/>
      </left>
      <right style="thin">
        <color rgb="FFCC1F26"/>
      </right>
      <top style="thin">
        <color rgb="FFCC1F26"/>
      </top>
      <bottom style="thin">
        <color rgb="FFCC1F26"/>
      </bottom>
      <diagonal/>
    </border>
    <border>
      <left style="thin">
        <color rgb="FFC4974A"/>
      </left>
      <right style="thin">
        <color rgb="FFC4974A"/>
      </right>
      <top style="thin">
        <color rgb="FFC4974A"/>
      </top>
      <bottom style="thin">
        <color rgb="FFC4974A"/>
      </bottom>
      <diagonal/>
    </border>
    <border>
      <left style="thin">
        <color rgb="FF087B50"/>
      </left>
      <right style="thin">
        <color rgb="FF087B50"/>
      </right>
      <top style="thin">
        <color rgb="FF087B50"/>
      </top>
      <bottom style="thin">
        <color rgb="FF087B50"/>
      </bottom>
      <diagonal/>
    </border>
    <border>
      <left style="thin">
        <color rgb="FFC07800"/>
      </left>
      <right style="thin">
        <color rgb="FFC07800"/>
      </right>
      <top style="thin">
        <color rgb="FFC07800"/>
      </top>
      <bottom style="thin">
        <color rgb="FFC07800"/>
      </bottom>
      <diagonal/>
    </border>
    <border>
      <left style="thin">
        <color rgb="FF1848A0"/>
      </left>
      <right style="thin">
        <color rgb="FF1848A0"/>
      </right>
      <top style="thin">
        <color rgb="FF1848A0"/>
      </top>
      <bottom style="thin">
        <color rgb="FF1848A0"/>
      </bottom>
      <diagonal/>
    </border>
    <border>
      <left style="thin">
        <color rgb="FF5C6570"/>
      </left>
      <right style="thin">
        <color rgb="FF5C6570"/>
      </right>
      <top style="thin">
        <color rgb="FF5C6570"/>
      </top>
      <bottom style="thin">
        <color rgb="FF5C6570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4" fillId="3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/>
    </xf>
    <xf numFmtId="0" fontId="12" fillId="10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1" fontId="14" fillId="5" borderId="1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left" vertical="center"/>
    </xf>
    <xf numFmtId="0" fontId="19" fillId="5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left" vertical="center"/>
    </xf>
    <xf numFmtId="0" fontId="21" fillId="7" borderId="1" xfId="0" applyFont="1" applyFill="1" applyBorder="1" applyAlignment="1">
      <alignment horizontal="left" vertical="center"/>
    </xf>
    <xf numFmtId="0" fontId="22" fillId="8" borderId="1" xfId="0" applyFont="1" applyFill="1" applyBorder="1" applyAlignment="1">
      <alignment horizontal="left" vertical="center"/>
    </xf>
    <xf numFmtId="0" fontId="23" fillId="9" borderId="1" xfId="0" applyFont="1" applyFill="1" applyBorder="1" applyAlignment="1">
      <alignment horizontal="left" vertical="center"/>
    </xf>
    <xf numFmtId="0" fontId="24" fillId="10" borderId="1" xfId="0" applyFont="1" applyFill="1" applyBorder="1" applyAlignment="1">
      <alignment horizontal="left" vertical="center"/>
    </xf>
    <xf numFmtId="0" fontId="25" fillId="3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left" vertical="center"/>
    </xf>
    <xf numFmtId="0" fontId="31" fillId="5" borderId="1" xfId="0" applyFont="1" applyFill="1" applyBorder="1" applyAlignment="1">
      <alignment horizontal="center" vertical="center"/>
    </xf>
    <xf numFmtId="2" fontId="32" fillId="6" borderId="1" xfId="0" applyNumberFormat="1" applyFont="1" applyFill="1" applyBorder="1" applyAlignment="1">
      <alignment horizontal="center" vertical="center"/>
    </xf>
    <xf numFmtId="165" fontId="29" fillId="6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left" vertical="center"/>
    </xf>
    <xf numFmtId="164" fontId="33" fillId="2" borderId="1" xfId="0" applyNumberFormat="1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left" vertical="center"/>
    </xf>
    <xf numFmtId="0" fontId="21" fillId="7" borderId="1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left" vertical="center"/>
    </xf>
    <xf numFmtId="0" fontId="22" fillId="8" borderId="1" xfId="0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left" vertical="center"/>
    </xf>
    <xf numFmtId="0" fontId="23" fillId="9" borderId="1" xfId="0" applyFont="1" applyFill="1" applyBorder="1" applyAlignment="1">
      <alignment horizontal="center" vertical="center"/>
    </xf>
    <xf numFmtId="0" fontId="26" fillId="9" borderId="1" xfId="0" applyFont="1" applyFill="1" applyBorder="1" applyAlignment="1">
      <alignment horizontal="left" vertical="center"/>
    </xf>
    <xf numFmtId="0" fontId="24" fillId="10" borderId="1" xfId="0" applyFont="1" applyFill="1" applyBorder="1" applyAlignment="1">
      <alignment horizontal="center" vertical="center"/>
    </xf>
    <xf numFmtId="0" fontId="26" fillId="10" borderId="1" xfId="0" applyFont="1" applyFill="1" applyBorder="1" applyAlignment="1">
      <alignment horizontal="left" vertical="center"/>
    </xf>
    <xf numFmtId="0" fontId="37" fillId="3" borderId="1" xfId="0" applyFont="1" applyFill="1" applyBorder="1" applyAlignment="1">
      <alignment horizontal="left" vertical="center"/>
    </xf>
    <xf numFmtId="0" fontId="0" fillId="11" borderId="0" xfId="0" applyFill="1"/>
    <xf numFmtId="0" fontId="17" fillId="2" borderId="2" xfId="0" applyFont="1" applyFill="1" applyBorder="1" applyAlignment="1">
      <alignment horizontal="center" vertical="center"/>
    </xf>
    <xf numFmtId="0" fontId="39" fillId="12" borderId="3" xfId="0" applyFont="1" applyFill="1" applyBorder="1" applyAlignment="1">
      <alignment horizontal="center" vertical="center"/>
    </xf>
    <xf numFmtId="0" fontId="0" fillId="12" borderId="3" xfId="0" applyFill="1" applyBorder="1"/>
    <xf numFmtId="0" fontId="39" fillId="11" borderId="4" xfId="0" applyFont="1" applyFill="1" applyBorder="1" applyAlignment="1">
      <alignment horizontal="center" vertical="center"/>
    </xf>
    <xf numFmtId="0" fontId="0" fillId="11" borderId="4" xfId="0" applyFill="1" applyBorder="1"/>
    <xf numFmtId="0" fontId="39" fillId="13" borderId="5" xfId="0" applyFont="1" applyFill="1" applyBorder="1" applyAlignment="1">
      <alignment horizontal="center" vertical="center"/>
    </xf>
    <xf numFmtId="0" fontId="0" fillId="13" borderId="5" xfId="0" applyFill="1" applyBorder="1"/>
    <xf numFmtId="0" fontId="39" fillId="14" borderId="6" xfId="0" applyFont="1" applyFill="1" applyBorder="1" applyAlignment="1">
      <alignment horizontal="center" vertical="center"/>
    </xf>
    <xf numFmtId="0" fontId="0" fillId="14" borderId="6" xfId="0" applyFill="1" applyBorder="1"/>
    <xf numFmtId="0" fontId="39" fillId="15" borderId="7" xfId="0" applyFont="1" applyFill="1" applyBorder="1" applyAlignment="1">
      <alignment horizontal="center" vertical="center"/>
    </xf>
    <xf numFmtId="0" fontId="0" fillId="15" borderId="7" xfId="0" applyFill="1" applyBorder="1"/>
    <xf numFmtId="0" fontId="39" fillId="16" borderId="8" xfId="0" applyFont="1" applyFill="1" applyBorder="1" applyAlignment="1">
      <alignment horizontal="center" vertical="center"/>
    </xf>
    <xf numFmtId="0" fontId="17" fillId="16" borderId="8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41" fillId="7" borderId="1" xfId="0" applyFont="1" applyFill="1" applyBorder="1" applyAlignment="1">
      <alignment horizontal="center" vertical="center" wrapText="1"/>
    </xf>
    <xf numFmtId="0" fontId="42" fillId="8" borderId="1" xfId="0" applyFont="1" applyFill="1" applyBorder="1" applyAlignment="1">
      <alignment horizontal="center" vertical="center" wrapText="1"/>
    </xf>
    <xf numFmtId="0" fontId="43" fillId="9" borderId="1" xfId="0" applyFont="1" applyFill="1" applyBorder="1" applyAlignment="1">
      <alignment horizontal="center" vertical="center" wrapText="1"/>
    </xf>
    <xf numFmtId="0" fontId="44" fillId="10" borderId="1" xfId="0" applyFont="1" applyFill="1" applyBorder="1" applyAlignment="1">
      <alignment horizontal="center" vertical="center" wrapText="1"/>
    </xf>
    <xf numFmtId="0" fontId="45" fillId="3" borderId="1" xfId="0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horizontal="left" vertical="center"/>
    </xf>
    <xf numFmtId="0" fontId="46" fillId="5" borderId="1" xfId="0" applyFont="1" applyFill="1" applyBorder="1" applyAlignment="1">
      <alignment horizontal="left" vertical="center"/>
    </xf>
    <xf numFmtId="0" fontId="47" fillId="5" borderId="1" xfId="0" applyFont="1" applyFill="1" applyBorder="1" applyAlignment="1">
      <alignment horizontal="left" vertical="center"/>
    </xf>
    <xf numFmtId="0" fontId="48" fillId="6" borderId="1" xfId="0" applyFont="1" applyFill="1" applyBorder="1" applyAlignment="1">
      <alignment horizontal="center" vertical="center"/>
    </xf>
    <xf numFmtId="0" fontId="49" fillId="4" borderId="1" xfId="0" applyFont="1" applyFill="1" applyBorder="1" applyAlignment="1">
      <alignment horizontal="center" vertical="center"/>
    </xf>
    <xf numFmtId="0" fontId="50" fillId="5" borderId="1" xfId="0" applyFont="1" applyFill="1" applyBorder="1" applyAlignment="1">
      <alignment horizontal="center" vertical="center"/>
    </xf>
    <xf numFmtId="0" fontId="51" fillId="8" borderId="1" xfId="0" applyFont="1" applyFill="1" applyBorder="1" applyAlignment="1">
      <alignment horizontal="center" vertical="center"/>
    </xf>
    <xf numFmtId="0" fontId="52" fillId="9" borderId="1" xfId="0" applyFont="1" applyFill="1" applyBorder="1" applyAlignment="1">
      <alignment horizontal="center" vertical="center"/>
    </xf>
    <xf numFmtId="0" fontId="53" fillId="10" borderId="1" xfId="0" applyFont="1" applyFill="1" applyBorder="1" applyAlignment="1">
      <alignment horizontal="center" vertical="center"/>
    </xf>
    <xf numFmtId="164" fontId="48" fillId="6" borderId="1" xfId="0" applyNumberFormat="1" applyFont="1" applyFill="1" applyBorder="1" applyAlignment="1">
      <alignment horizontal="center" vertical="center"/>
    </xf>
    <xf numFmtId="164" fontId="38" fillId="6" borderId="1" xfId="0" applyNumberFormat="1" applyFont="1" applyFill="1" applyBorder="1" applyAlignment="1">
      <alignment horizontal="center" vertical="center"/>
    </xf>
    <xf numFmtId="2" fontId="36" fillId="6" borderId="1" xfId="0" applyNumberFormat="1" applyFont="1" applyFill="1" applyBorder="1" applyAlignment="1">
      <alignment horizontal="center" vertical="center"/>
    </xf>
    <xf numFmtId="2" fontId="54" fillId="2" borderId="2" xfId="0" applyNumberFormat="1" applyFont="1" applyFill="1" applyBorder="1" applyAlignment="1">
      <alignment horizontal="center" vertical="center"/>
    </xf>
    <xf numFmtId="0" fontId="55" fillId="6" borderId="1" xfId="0" applyFont="1" applyFill="1" applyBorder="1" applyAlignment="1">
      <alignment horizontal="center" vertical="center"/>
    </xf>
    <xf numFmtId="0" fontId="45" fillId="6" borderId="1" xfId="0" applyFont="1" applyFill="1" applyBorder="1" applyAlignment="1">
      <alignment horizontal="center" vertical="center"/>
    </xf>
    <xf numFmtId="0" fontId="56" fillId="5" borderId="1" xfId="0" applyFont="1" applyFill="1" applyBorder="1" applyAlignment="1">
      <alignment horizontal="center" vertical="center"/>
    </xf>
    <xf numFmtId="0" fontId="48" fillId="3" borderId="1" xfId="0" applyFont="1" applyFill="1" applyBorder="1" applyAlignment="1">
      <alignment horizontal="center" vertical="center"/>
    </xf>
    <xf numFmtId="0" fontId="57" fillId="7" borderId="1" xfId="0" applyFont="1" applyFill="1" applyBorder="1" applyAlignment="1">
      <alignment horizontal="center" vertical="center"/>
    </xf>
    <xf numFmtId="164" fontId="53" fillId="10" borderId="1" xfId="0" applyNumberFormat="1" applyFont="1" applyFill="1" applyBorder="1" applyAlignment="1">
      <alignment horizontal="center" vertical="center"/>
    </xf>
    <xf numFmtId="164" fontId="38" fillId="3" borderId="1" xfId="0" applyNumberFormat="1" applyFont="1" applyFill="1" applyBorder="1" applyAlignment="1">
      <alignment horizontal="center" vertical="center"/>
    </xf>
    <xf numFmtId="2" fontId="36" fillId="3" borderId="1" xfId="0" applyNumberFormat="1" applyFont="1" applyFill="1" applyBorder="1" applyAlignment="1">
      <alignment horizontal="center" vertical="center"/>
    </xf>
    <xf numFmtId="165" fontId="29" fillId="3" borderId="1" xfId="0" applyNumberFormat="1" applyFont="1" applyFill="1" applyBorder="1" applyAlignment="1">
      <alignment horizontal="center" vertical="center"/>
    </xf>
    <xf numFmtId="0" fontId="55" fillId="3" borderId="1" xfId="0" applyFont="1" applyFill="1" applyBorder="1" applyAlignment="1">
      <alignment horizontal="center" vertical="center"/>
    </xf>
    <xf numFmtId="164" fontId="48" fillId="3" borderId="1" xfId="0" applyNumberFormat="1" applyFont="1" applyFill="1" applyBorder="1" applyAlignment="1">
      <alignment horizontal="center" vertical="center"/>
    </xf>
    <xf numFmtId="0" fontId="0" fillId="6" borderId="1" xfId="0" applyFill="1" applyBorder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36" fillId="5" borderId="1" xfId="0" applyFont="1" applyFill="1" applyBorder="1" applyAlignment="1">
      <alignment horizontal="center" vertical="center"/>
    </xf>
    <xf numFmtId="0" fontId="38" fillId="6" borderId="1" xfId="0" applyFont="1" applyFill="1" applyBorder="1" applyAlignment="1">
      <alignment horizontal="center" vertical="center"/>
    </xf>
    <xf numFmtId="2" fontId="34" fillId="6" borderId="1" xfId="0" applyNumberFormat="1" applyFont="1" applyFill="1" applyBorder="1" applyAlignment="1">
      <alignment horizontal="center" vertical="center"/>
    </xf>
    <xf numFmtId="166" fontId="34" fillId="6" borderId="1" xfId="0" applyNumberFormat="1" applyFont="1" applyFill="1" applyBorder="1" applyAlignment="1">
      <alignment horizontal="center" vertical="center"/>
    </xf>
    <xf numFmtId="2" fontId="35" fillId="2" borderId="1" xfId="0" applyNumberFormat="1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left" vertical="center"/>
    </xf>
    <xf numFmtId="0" fontId="29" fillId="6" borderId="1" xfId="0" applyFont="1" applyFill="1" applyBorder="1" applyAlignment="1">
      <alignment horizontal="left" vertical="center"/>
    </xf>
    <xf numFmtId="0" fontId="27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80808"/>
      <rgbColor rgb="FFC07800"/>
      <rgbColor rgb="FF800080"/>
      <rgbColor rgb="FF087B50"/>
      <rgbColor rgb="FFF7F7F5"/>
      <rgbColor rgb="FF666666"/>
      <rgbColor rgb="FF9999FF"/>
      <rgbColor rgb="FF993366"/>
      <rgbColor rgb="FFFAF5E6"/>
      <rgbColor rgb="FFECF8F3"/>
      <rgbColor rgb="FF660066"/>
      <rgbColor rgb="FFFF8080"/>
      <rgbColor rgb="FF0070C0"/>
      <rgbColor rgb="FFE2E2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C"/>
      <rgbColor rgb="FFF4F5F6"/>
      <rgbColor rgb="FFFAF6EC"/>
      <rgbColor rgb="FF99CCFF"/>
      <rgbColor rgb="FFFF99CC"/>
      <rgbColor rgb="FFCC99FF"/>
      <rgbColor rgb="FFFEF0F1"/>
      <rgbColor rgb="FF3366FF"/>
      <rgbColor rgb="FF33CCCC"/>
      <rgbColor rgb="FF99CC00"/>
      <rgbColor rgb="FFFFCC00"/>
      <rgbColor rgb="FFC4974A"/>
      <rgbColor rgb="FFFF6600"/>
      <rgbColor rgb="FF5C6570"/>
      <rgbColor rgb="FFAAAAAA"/>
      <rgbColor rgb="FF003366"/>
      <rgbColor rgb="FF339966"/>
      <rgbColor rgb="FF141414"/>
      <rgbColor rgb="FF333300"/>
      <rgbColor rgb="FFCC1F26"/>
      <rgbColor rgb="FF993366"/>
      <rgbColor rgb="FF1848A0"/>
      <rgbColor rgb="FF48484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showGridLines="0" zoomScaleNormal="100" workbookViewId="0">
      <selection sqref="A1:I1"/>
    </sheetView>
  </sheetViews>
  <sheetFormatPr baseColWidth="10" defaultColWidth="8.7109375" defaultRowHeight="15" x14ac:dyDescent="0.25"/>
  <cols>
    <col min="1" max="1" width="28" customWidth="1"/>
    <col min="2" max="3" width="14" customWidth="1"/>
    <col min="4" max="4" width="32" customWidth="1"/>
    <col min="5" max="5" width="10" customWidth="1"/>
    <col min="6" max="6" width="28" customWidth="1"/>
    <col min="7" max="8" width="14" customWidth="1"/>
    <col min="9" max="9" width="32" customWidth="1"/>
  </cols>
  <sheetData>
    <row r="1" spans="1:9" ht="27.75" customHeight="1" x14ac:dyDescent="0.25">
      <c r="A1" s="98" t="s">
        <v>0</v>
      </c>
      <c r="B1" s="98"/>
      <c r="C1" s="98"/>
      <c r="D1" s="98"/>
      <c r="E1" s="98"/>
      <c r="F1" s="98"/>
      <c r="G1" s="98"/>
      <c r="H1" s="98"/>
      <c r="I1" s="98"/>
    </row>
    <row r="2" spans="1:9" ht="13.5" customHeight="1" x14ac:dyDescent="0.25">
      <c r="A2" s="99" t="s">
        <v>1</v>
      </c>
      <c r="B2" s="99"/>
      <c r="C2" s="99"/>
      <c r="D2" s="99"/>
      <c r="E2" s="99"/>
      <c r="F2" s="99"/>
      <c r="G2" s="99"/>
      <c r="H2" s="99"/>
      <c r="I2" s="99"/>
    </row>
    <row r="3" spans="1:9" ht="21.75" customHeight="1" x14ac:dyDescent="0.25">
      <c r="A3" s="97" t="s">
        <v>2</v>
      </c>
      <c r="B3" s="97"/>
      <c r="C3" s="97"/>
      <c r="D3" s="97"/>
      <c r="E3" s="97"/>
      <c r="F3" s="97"/>
      <c r="G3" s="97"/>
      <c r="H3" s="97"/>
      <c r="I3" s="97"/>
    </row>
    <row r="4" spans="1:9" ht="15.75" customHeight="1" x14ac:dyDescent="0.25">
      <c r="A4" s="100" t="s">
        <v>3</v>
      </c>
      <c r="B4" s="100"/>
      <c r="C4" s="100"/>
      <c r="D4" s="1" t="s">
        <v>4</v>
      </c>
      <c r="E4" s="100" t="s">
        <v>5</v>
      </c>
      <c r="F4" s="100"/>
      <c r="G4" s="100"/>
      <c r="H4" s="100"/>
      <c r="I4" s="100"/>
    </row>
    <row r="5" spans="1:9" ht="19.5" customHeight="1" x14ac:dyDescent="0.25">
      <c r="A5" s="2" t="s">
        <v>6</v>
      </c>
      <c r="B5" s="3">
        <v>30</v>
      </c>
      <c r="C5" s="4" t="s">
        <v>7</v>
      </c>
    </row>
    <row r="6" spans="1:9" ht="19.5" customHeight="1" x14ac:dyDescent="0.25">
      <c r="A6" s="5" t="s">
        <v>8</v>
      </c>
      <c r="B6" s="3">
        <v>20</v>
      </c>
      <c r="C6" s="4" t="s">
        <v>7</v>
      </c>
    </row>
    <row r="7" spans="1:9" ht="19.5" customHeight="1" x14ac:dyDescent="0.25">
      <c r="A7" s="6" t="s">
        <v>9</v>
      </c>
      <c r="B7" s="3">
        <v>20</v>
      </c>
      <c r="C7" s="4" t="s">
        <v>7</v>
      </c>
    </row>
    <row r="8" spans="1:9" ht="19.5" customHeight="1" x14ac:dyDescent="0.25">
      <c r="A8" s="7" t="s">
        <v>10</v>
      </c>
      <c r="B8" s="3">
        <v>12</v>
      </c>
      <c r="C8" s="4" t="s">
        <v>7</v>
      </c>
    </row>
    <row r="9" spans="1:9" ht="19.5" customHeight="1" x14ac:dyDescent="0.25">
      <c r="A9" s="8" t="s">
        <v>11</v>
      </c>
      <c r="B9" s="3">
        <v>10</v>
      </c>
      <c r="C9" s="4" t="s">
        <v>7</v>
      </c>
    </row>
    <row r="10" spans="1:9" ht="19.5" customHeight="1" x14ac:dyDescent="0.25">
      <c r="A10" s="9" t="s">
        <v>12</v>
      </c>
      <c r="B10" s="3">
        <v>8</v>
      </c>
      <c r="C10" s="4" t="s">
        <v>7</v>
      </c>
    </row>
    <row r="11" spans="1:9" ht="19.5" customHeight="1" x14ac:dyDescent="0.25">
      <c r="A11" s="10" t="s">
        <v>13</v>
      </c>
      <c r="B11" s="11">
        <f>SUM(B5:B10)</f>
        <v>100</v>
      </c>
      <c r="C11" s="12" t="str">
        <f>IF(B11=100,"✓ Correcto","✗ Revisar")</f>
        <v>✓ Correcto</v>
      </c>
    </row>
    <row r="13" spans="1:9" ht="21.75" customHeight="1" x14ac:dyDescent="0.25">
      <c r="A13" s="97" t="s">
        <v>14</v>
      </c>
      <c r="B13" s="97"/>
      <c r="C13" s="97"/>
      <c r="D13" s="97"/>
      <c r="E13" s="97"/>
      <c r="F13" s="97"/>
      <c r="G13" s="97"/>
      <c r="H13" s="97"/>
      <c r="I13" s="97"/>
    </row>
    <row r="14" spans="1:9" ht="19.5" customHeight="1" x14ac:dyDescent="0.25">
      <c r="A14" s="13" t="s">
        <v>15</v>
      </c>
      <c r="B14" s="14" t="s">
        <v>16</v>
      </c>
      <c r="C14" s="14" t="s">
        <v>17</v>
      </c>
      <c r="D14" s="14" t="s">
        <v>18</v>
      </c>
      <c r="E14" s="14" t="s">
        <v>19</v>
      </c>
      <c r="F14" s="14" t="s">
        <v>20</v>
      </c>
      <c r="G14" s="14" t="s">
        <v>21</v>
      </c>
      <c r="H14" s="14" t="s">
        <v>22</v>
      </c>
    </row>
    <row r="15" spans="1:9" ht="19.5" customHeight="1" x14ac:dyDescent="0.25">
      <c r="A15" s="15" t="s">
        <v>6</v>
      </c>
      <c r="B15" s="16">
        <v>3</v>
      </c>
      <c r="C15" s="16">
        <v>1</v>
      </c>
      <c r="D15" s="16">
        <v>2</v>
      </c>
      <c r="E15" s="16">
        <v>7</v>
      </c>
      <c r="F15" s="16">
        <v>2</v>
      </c>
      <c r="G15" s="16">
        <v>9</v>
      </c>
    </row>
    <row r="16" spans="1:9" ht="19.5" customHeight="1" x14ac:dyDescent="0.25">
      <c r="A16" s="17" t="s">
        <v>8</v>
      </c>
      <c r="B16" s="16">
        <v>4</v>
      </c>
      <c r="C16" s="16">
        <v>1</v>
      </c>
      <c r="D16" s="16">
        <v>3</v>
      </c>
      <c r="E16" s="16">
        <v>8</v>
      </c>
      <c r="F16" s="16">
        <v>2</v>
      </c>
      <c r="G16" s="16">
        <v>9</v>
      </c>
    </row>
    <row r="17" spans="1:9" ht="19.5" customHeight="1" x14ac:dyDescent="0.25">
      <c r="A17" s="18" t="s">
        <v>9</v>
      </c>
      <c r="B17" s="16">
        <v>4</v>
      </c>
      <c r="C17" s="16">
        <v>1</v>
      </c>
      <c r="D17" s="16">
        <v>3</v>
      </c>
      <c r="E17" s="16">
        <v>8</v>
      </c>
      <c r="F17" s="16">
        <v>2</v>
      </c>
      <c r="G17" s="16">
        <v>8</v>
      </c>
    </row>
    <row r="18" spans="1:9" ht="19.5" customHeight="1" x14ac:dyDescent="0.25">
      <c r="A18" s="19" t="s">
        <v>10</v>
      </c>
      <c r="B18" s="16">
        <v>4</v>
      </c>
      <c r="C18" s="16">
        <v>1</v>
      </c>
      <c r="D18" s="16">
        <v>3</v>
      </c>
      <c r="E18" s="16">
        <v>8</v>
      </c>
      <c r="F18" s="16">
        <v>1.5</v>
      </c>
      <c r="G18" s="16">
        <v>7</v>
      </c>
    </row>
    <row r="19" spans="1:9" ht="19.5" customHeight="1" x14ac:dyDescent="0.25">
      <c r="A19" s="20" t="s">
        <v>11</v>
      </c>
      <c r="B19" s="16">
        <v>4</v>
      </c>
      <c r="C19" s="16">
        <v>1</v>
      </c>
      <c r="D19" s="16">
        <v>3</v>
      </c>
      <c r="E19" s="16">
        <v>8</v>
      </c>
      <c r="F19" s="16">
        <v>1.5</v>
      </c>
      <c r="G19" s="16">
        <v>7</v>
      </c>
    </row>
    <row r="20" spans="1:9" ht="19.5" customHeight="1" x14ac:dyDescent="0.25">
      <c r="A20" s="21" t="s">
        <v>12</v>
      </c>
      <c r="B20" s="16">
        <v>4</v>
      </c>
      <c r="C20" s="16">
        <v>1</v>
      </c>
      <c r="D20" s="16">
        <v>2</v>
      </c>
      <c r="E20" s="16">
        <v>8</v>
      </c>
      <c r="F20" s="16">
        <v>1</v>
      </c>
      <c r="G20" s="16">
        <v>6</v>
      </c>
    </row>
    <row r="22" spans="1:9" ht="21.75" customHeight="1" x14ac:dyDescent="0.25">
      <c r="A22" s="97" t="s">
        <v>23</v>
      </c>
      <c r="B22" s="97"/>
      <c r="C22" s="97"/>
      <c r="D22" s="97"/>
      <c r="E22" s="97"/>
      <c r="F22" s="97"/>
      <c r="G22" s="97"/>
      <c r="H22" s="97"/>
      <c r="I22" s="97"/>
    </row>
    <row r="23" spans="1:9" ht="19.5" customHeight="1" x14ac:dyDescent="0.25">
      <c r="A23" s="22" t="s">
        <v>24</v>
      </c>
      <c r="B23" s="23">
        <v>8.5</v>
      </c>
    </row>
    <row r="24" spans="1:9" ht="19.5" customHeight="1" x14ac:dyDescent="0.25">
      <c r="A24" s="22" t="s">
        <v>25</v>
      </c>
      <c r="B24" s="23">
        <v>7</v>
      </c>
    </row>
    <row r="25" spans="1:9" ht="19.5" customHeight="1" x14ac:dyDescent="0.25">
      <c r="A25" s="22" t="s">
        <v>26</v>
      </c>
      <c r="B25" s="23">
        <v>5.5</v>
      </c>
    </row>
    <row r="26" spans="1:9" ht="19.5" customHeight="1" x14ac:dyDescent="0.25">
      <c r="A26" s="22" t="s">
        <v>27</v>
      </c>
      <c r="B26" s="23">
        <v>4</v>
      </c>
    </row>
    <row r="28" spans="1:9" ht="21.75" customHeight="1" x14ac:dyDescent="0.25">
      <c r="A28" s="97" t="s">
        <v>28</v>
      </c>
      <c r="B28" s="97"/>
      <c r="C28" s="97"/>
      <c r="D28" s="97"/>
      <c r="E28" s="97"/>
      <c r="F28" s="97"/>
      <c r="G28" s="97"/>
      <c r="H28" s="97"/>
      <c r="I28" s="97"/>
    </row>
    <row r="29" spans="1:9" ht="19.5" customHeight="1" x14ac:dyDescent="0.25">
      <c r="A29" s="22" t="s">
        <v>29</v>
      </c>
      <c r="B29" s="3">
        <v>30</v>
      </c>
    </row>
    <row r="30" spans="1:9" ht="19.5" customHeight="1" x14ac:dyDescent="0.25">
      <c r="A30" s="22" t="s">
        <v>30</v>
      </c>
      <c r="B30" s="3">
        <v>100</v>
      </c>
    </row>
    <row r="32" spans="1:9" ht="21.75" customHeight="1" x14ac:dyDescent="0.25">
      <c r="A32" s="97" t="s">
        <v>31</v>
      </c>
      <c r="B32" s="97"/>
      <c r="C32" s="97"/>
      <c r="D32" s="97"/>
      <c r="E32" s="97"/>
      <c r="F32" s="97"/>
      <c r="G32" s="97"/>
      <c r="H32" s="97"/>
      <c r="I32" s="97"/>
    </row>
    <row r="33" spans="1:2" ht="19.5" customHeight="1" x14ac:dyDescent="0.25">
      <c r="A33" s="22" t="s">
        <v>32</v>
      </c>
      <c r="B33" s="24">
        <v>0.15</v>
      </c>
    </row>
    <row r="34" spans="1:2" ht="19.5" customHeight="1" x14ac:dyDescent="0.25">
      <c r="A34" s="22" t="s">
        <v>33</v>
      </c>
      <c r="B34" s="24">
        <v>1.25</v>
      </c>
    </row>
  </sheetData>
  <mergeCells count="9">
    <mergeCell ref="A13:I13"/>
    <mergeCell ref="A22:I22"/>
    <mergeCell ref="A28:I28"/>
    <mergeCell ref="A32:I32"/>
    <mergeCell ref="A1:I1"/>
    <mergeCell ref="A2:I2"/>
    <mergeCell ref="A3:I3"/>
    <mergeCell ref="A4:C4"/>
    <mergeCell ref="E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"/>
  <sheetViews>
    <sheetView showGridLines="0" zoomScaleNormal="100" workbookViewId="0">
      <selection sqref="A1:J1"/>
    </sheetView>
  </sheetViews>
  <sheetFormatPr baseColWidth="10" defaultColWidth="8.7109375" defaultRowHeight="15" x14ac:dyDescent="0.25"/>
  <cols>
    <col min="1" max="1" width="5" customWidth="1"/>
    <col min="2" max="2" width="30" customWidth="1"/>
    <col min="3" max="8" width="13" customWidth="1"/>
    <col min="9" max="9" width="20" customWidth="1"/>
    <col min="10" max="10" width="16" customWidth="1"/>
  </cols>
  <sheetData>
    <row r="1" spans="1:10" ht="27.75" customHeight="1" x14ac:dyDescent="0.25">
      <c r="A1" s="98" t="s">
        <v>34</v>
      </c>
      <c r="B1" s="98"/>
      <c r="C1" s="98"/>
      <c r="D1" s="98"/>
      <c r="E1" s="98"/>
      <c r="F1" s="98"/>
      <c r="G1" s="98"/>
      <c r="H1" s="98"/>
      <c r="I1" s="98"/>
      <c r="J1" s="98"/>
    </row>
    <row r="2" spans="1:10" ht="13.5" customHeight="1" x14ac:dyDescent="0.25">
      <c r="A2" s="99" t="s">
        <v>35</v>
      </c>
      <c r="B2" s="99"/>
      <c r="C2" s="99"/>
      <c r="D2" s="99"/>
      <c r="E2" s="99"/>
      <c r="F2" s="99"/>
      <c r="G2" s="99"/>
      <c r="H2" s="99"/>
      <c r="I2" s="99"/>
      <c r="J2" s="99"/>
    </row>
    <row r="3" spans="1:10" ht="21.75" customHeight="1" x14ac:dyDescent="0.25">
      <c r="A3" s="97" t="s">
        <v>36</v>
      </c>
      <c r="B3" s="97"/>
      <c r="C3" s="97"/>
      <c r="D3" s="97"/>
      <c r="E3" s="97"/>
      <c r="F3" s="97"/>
      <c r="G3" s="97"/>
      <c r="H3" s="97"/>
      <c r="I3" s="97"/>
      <c r="J3" s="97"/>
    </row>
    <row r="4" spans="1:10" ht="19.5" customHeight="1" x14ac:dyDescent="0.25">
      <c r="A4" s="25"/>
      <c r="B4" s="22" t="s">
        <v>37</v>
      </c>
      <c r="C4" s="108"/>
      <c r="D4" s="108"/>
      <c r="E4" s="108"/>
      <c r="F4" s="108"/>
      <c r="G4" s="108"/>
      <c r="H4" s="108"/>
    </row>
    <row r="5" spans="1:10" ht="19.5" customHeight="1" x14ac:dyDescent="0.25">
      <c r="A5" s="25"/>
      <c r="B5" s="22" t="s">
        <v>38</v>
      </c>
      <c r="C5" s="108"/>
      <c r="D5" s="108"/>
      <c r="E5" s="108"/>
      <c r="F5" s="108"/>
      <c r="G5" s="108"/>
      <c r="H5" s="108"/>
    </row>
    <row r="6" spans="1:10" ht="19.5" customHeight="1" x14ac:dyDescent="0.25">
      <c r="A6" s="25"/>
      <c r="B6" s="22" t="s">
        <v>39</v>
      </c>
      <c r="C6" s="106" t="s">
        <v>40</v>
      </c>
      <c r="D6" s="106"/>
      <c r="E6" s="106"/>
      <c r="F6" s="106"/>
      <c r="G6" s="106"/>
      <c r="H6" s="106"/>
    </row>
    <row r="7" spans="1:10" ht="19.5" customHeight="1" x14ac:dyDescent="0.25">
      <c r="A7" s="25"/>
      <c r="B7" s="22" t="s">
        <v>41</v>
      </c>
      <c r="C7" s="106" t="s">
        <v>42</v>
      </c>
      <c r="D7" s="106"/>
      <c r="E7" s="106"/>
      <c r="F7" s="106"/>
      <c r="G7" s="106"/>
      <c r="H7" s="106"/>
    </row>
    <row r="8" spans="1:10" ht="19.5" customHeight="1" x14ac:dyDescent="0.25">
      <c r="A8" s="25"/>
      <c r="B8" s="22" t="s">
        <v>43</v>
      </c>
      <c r="C8" s="106" t="s">
        <v>44</v>
      </c>
      <c r="D8" s="106"/>
      <c r="E8" s="106"/>
      <c r="F8" s="106"/>
      <c r="G8" s="106"/>
      <c r="H8" s="106"/>
    </row>
    <row r="9" spans="1:10" ht="18" customHeight="1" x14ac:dyDescent="0.25">
      <c r="A9" s="25"/>
      <c r="B9" s="26" t="s">
        <v>45</v>
      </c>
      <c r="C9" s="107" t="str">
        <f ca="1">IF(C7="","—",IF(ISNUMBER(C7),TEXT(TODAY()-C7,"0")&amp;" días","—"))</f>
        <v>—</v>
      </c>
      <c r="D9" s="107"/>
      <c r="E9" s="107"/>
      <c r="F9" s="107"/>
      <c r="G9" s="107"/>
      <c r="H9" s="107"/>
    </row>
    <row r="10" spans="1:10" ht="18" customHeight="1" x14ac:dyDescent="0.25">
      <c r="B10" s="26" t="s">
        <v>46</v>
      </c>
      <c r="C10" s="107" t="str">
        <f ca="1">IF(C7="","×1.000",IF(ISNUMBER(C7),TEXT(MIN(1+MAX(0,TODAY()-C7)/365*'⚙ Parámetros'!B33,'⚙ Parámetros'!B34),"0.000")&amp;"×","×1.000"))</f>
        <v>×1.000</v>
      </c>
      <c r="D10" s="107"/>
      <c r="E10" s="107"/>
      <c r="F10" s="107"/>
      <c r="G10" s="107"/>
      <c r="H10" s="107"/>
    </row>
    <row r="12" spans="1:10" ht="21.75" customHeight="1" x14ac:dyDescent="0.25">
      <c r="A12" s="97" t="s">
        <v>47</v>
      </c>
      <c r="B12" s="97"/>
      <c r="C12" s="97"/>
      <c r="D12" s="97"/>
      <c r="E12" s="97"/>
      <c r="F12" s="97"/>
      <c r="G12" s="97"/>
      <c r="H12" s="97"/>
      <c r="I12" s="97"/>
      <c r="J12" s="97"/>
    </row>
    <row r="13" spans="1:10" ht="31.5" customHeight="1" x14ac:dyDescent="0.25">
      <c r="A13" s="27"/>
      <c r="B13" s="27" t="s">
        <v>48</v>
      </c>
      <c r="C13" s="27" t="s">
        <v>49</v>
      </c>
      <c r="D13" s="27" t="s">
        <v>50</v>
      </c>
      <c r="E13" s="27" t="s">
        <v>51</v>
      </c>
      <c r="F13" s="27" t="s">
        <v>52</v>
      </c>
      <c r="G13" s="27" t="s">
        <v>53</v>
      </c>
      <c r="H13" s="28" t="s">
        <v>54</v>
      </c>
      <c r="I13" s="28" t="s">
        <v>55</v>
      </c>
    </row>
    <row r="14" spans="1:10" ht="21.75" customHeight="1" x14ac:dyDescent="0.25">
      <c r="A14" s="29" t="s">
        <v>56</v>
      </c>
      <c r="B14" s="30" t="s">
        <v>57</v>
      </c>
      <c r="C14" s="31">
        <v>5</v>
      </c>
      <c r="D14" s="32">
        <f>MAX('⚙ Parámetros'!D15/(1+2^(-'⚙ Parámetros'!C15*(C14-'⚙ Parámetros'!B15))),'⚙ Parámetros'!G15/(1+2^(-'⚙ Parámetros'!F15*(C14-'⚙ Parámetros'!E15))),1)</f>
        <v>1.6</v>
      </c>
      <c r="E14" s="33">
        <f>30/100*D14*C14</f>
        <v>2.4</v>
      </c>
      <c r="F14" s="33">
        <f>30/100*D14</f>
        <v>0.48</v>
      </c>
      <c r="G14" s="34" t="s">
        <v>58</v>
      </c>
    </row>
    <row r="15" spans="1:10" ht="21.75" customHeight="1" x14ac:dyDescent="0.25">
      <c r="A15" s="35"/>
      <c r="B15" s="30" t="s">
        <v>59</v>
      </c>
      <c r="C15" s="31">
        <v>5</v>
      </c>
      <c r="D15" s="32">
        <f>MAX('⚙ Parámetros'!D15/(1+2^(-'⚙ Parámetros'!C15*(C15-'⚙ Parámetros'!B15))),'⚙ Parámetros'!G15/(1+2^(-'⚙ Parámetros'!F15*(C15-'⚙ Parámetros'!E15))),1)</f>
        <v>1.6</v>
      </c>
      <c r="E15" s="33">
        <f>30/100*D15*C15</f>
        <v>2.4</v>
      </c>
      <c r="F15" s="33">
        <f>30/100*D15</f>
        <v>0.48</v>
      </c>
      <c r="G15" s="34" t="s">
        <v>58</v>
      </c>
      <c r="H15" s="36">
        <f>IFERROR(SUM(E14:E17)/SUM(F14:F17),0)</f>
        <v>5</v>
      </c>
    </row>
    <row r="16" spans="1:10" ht="21.75" customHeight="1" x14ac:dyDescent="0.25">
      <c r="A16" s="35"/>
      <c r="B16" s="30" t="s">
        <v>60</v>
      </c>
      <c r="C16" s="31">
        <v>5</v>
      </c>
      <c r="D16" s="32">
        <f>MAX('⚙ Parámetros'!D15/(1+2^(-'⚙ Parámetros'!C15*(C16-'⚙ Parámetros'!B15))),'⚙ Parámetros'!G15/(1+2^(-'⚙ Parámetros'!F15*(C16-'⚙ Parámetros'!E15))),1)</f>
        <v>1.6</v>
      </c>
      <c r="E16" s="33">
        <f>20/100*D16*C16</f>
        <v>1.6000000000000003</v>
      </c>
      <c r="F16" s="33">
        <f>20/100*D16</f>
        <v>0.32000000000000006</v>
      </c>
      <c r="G16" s="34" t="s">
        <v>61</v>
      </c>
    </row>
    <row r="17" spans="1:8" ht="21.75" customHeight="1" x14ac:dyDescent="0.25">
      <c r="A17" s="35"/>
      <c r="B17" s="30" t="s">
        <v>62</v>
      </c>
      <c r="C17" s="31">
        <v>5</v>
      </c>
      <c r="D17" s="32">
        <f>MAX('⚙ Parámetros'!D15/(1+2^(-'⚙ Parámetros'!C15*(C17-'⚙ Parámetros'!B15))),'⚙ Parámetros'!G15/(1+2^(-'⚙ Parámetros'!F15*(C17-'⚙ Parámetros'!E15))),1)</f>
        <v>1.6</v>
      </c>
      <c r="E17" s="33">
        <f>20/100*D17*C17</f>
        <v>1.6000000000000003</v>
      </c>
      <c r="F17" s="33">
        <f>20/100*D17</f>
        <v>0.32000000000000006</v>
      </c>
      <c r="G17" s="34" t="s">
        <v>61</v>
      </c>
    </row>
    <row r="18" spans="1:8" ht="21.75" customHeight="1" x14ac:dyDescent="0.25">
      <c r="A18" s="37" t="s">
        <v>63</v>
      </c>
      <c r="B18" s="30" t="s">
        <v>64</v>
      </c>
      <c r="C18" s="31">
        <v>5</v>
      </c>
      <c r="D18" s="32">
        <f>MAX('⚙ Parámetros'!D16/(1+2^(-'⚙ Parámetros'!C16*(C18-'⚙ Parámetros'!B16))),'⚙ Parámetros'!G16/(1+2^(-'⚙ Parámetros'!F16*(C18-'⚙ Parámetros'!E16))),1)</f>
        <v>2</v>
      </c>
      <c r="E18" s="33">
        <f>35/100*D18*C18</f>
        <v>3.5</v>
      </c>
      <c r="F18" s="33">
        <f>35/100*D18</f>
        <v>0.7</v>
      </c>
      <c r="G18" s="34" t="s">
        <v>65</v>
      </c>
    </row>
    <row r="19" spans="1:8" ht="21.75" customHeight="1" x14ac:dyDescent="0.25">
      <c r="A19" s="38"/>
      <c r="B19" s="30" t="s">
        <v>66</v>
      </c>
      <c r="C19" s="31">
        <v>5</v>
      </c>
      <c r="D19" s="32">
        <f>MAX('⚙ Parámetros'!D16/(1+2^(-'⚙ Parámetros'!C16*(C19-'⚙ Parámetros'!B16))),'⚙ Parámetros'!G16/(1+2^(-'⚙ Parámetros'!F16*(C19-'⚙ Parámetros'!E16))),1)</f>
        <v>2</v>
      </c>
      <c r="E19" s="33">
        <f>25/100*D19*C19</f>
        <v>2.5</v>
      </c>
      <c r="F19" s="33">
        <f>25/100*D19</f>
        <v>0.5</v>
      </c>
      <c r="G19" s="34" t="s">
        <v>67</v>
      </c>
      <c r="H19" s="36">
        <f>IFERROR(SUM(E18:E21)/SUM(F18:F21),0)</f>
        <v>5</v>
      </c>
    </row>
    <row r="20" spans="1:8" ht="21.75" customHeight="1" x14ac:dyDescent="0.25">
      <c r="A20" s="38"/>
      <c r="B20" s="30" t="s">
        <v>68</v>
      </c>
      <c r="C20" s="31">
        <v>5</v>
      </c>
      <c r="D20" s="32">
        <f>MAX('⚙ Parámetros'!D16/(1+2^(-'⚙ Parámetros'!C16*(C20-'⚙ Parámetros'!B16))),'⚙ Parámetros'!G16/(1+2^(-'⚙ Parámetros'!F16*(C20-'⚙ Parámetros'!E16))),1)</f>
        <v>2</v>
      </c>
      <c r="E20" s="33">
        <f>20/100*D20*C20</f>
        <v>2</v>
      </c>
      <c r="F20" s="33">
        <f>20/100*D20</f>
        <v>0.4</v>
      </c>
      <c r="G20" s="34" t="s">
        <v>61</v>
      </c>
    </row>
    <row r="21" spans="1:8" ht="21.75" customHeight="1" x14ac:dyDescent="0.25">
      <c r="A21" s="38"/>
      <c r="B21" s="30" t="s">
        <v>69</v>
      </c>
      <c r="C21" s="31">
        <v>5</v>
      </c>
      <c r="D21" s="32">
        <f>MAX('⚙ Parámetros'!D16/(1+2^(-'⚙ Parámetros'!C16*(C21-'⚙ Parámetros'!B16))),'⚙ Parámetros'!G16/(1+2^(-'⚙ Parámetros'!F16*(C21-'⚙ Parámetros'!E16))),1)</f>
        <v>2</v>
      </c>
      <c r="E21" s="33">
        <f>20/100*D21*C21</f>
        <v>2</v>
      </c>
      <c r="F21" s="33">
        <f>20/100*D21</f>
        <v>0.4</v>
      </c>
      <c r="G21" s="34" t="s">
        <v>61</v>
      </c>
    </row>
    <row r="22" spans="1:8" ht="21.75" customHeight="1" x14ac:dyDescent="0.25">
      <c r="A22" s="39" t="s">
        <v>70</v>
      </c>
      <c r="B22" s="30" t="s">
        <v>71</v>
      </c>
      <c r="C22" s="31">
        <v>5</v>
      </c>
      <c r="D22" s="32">
        <f>MAX('⚙ Parámetros'!D17/(1+2^(-'⚙ Parámetros'!C17*(C22-'⚙ Parámetros'!B17))),'⚙ Parámetros'!G17/(1+2^(-'⚙ Parámetros'!F17*(C22-'⚙ Parámetros'!E17))),1)</f>
        <v>2</v>
      </c>
      <c r="E22" s="33">
        <f>30/100*D22*C22</f>
        <v>3</v>
      </c>
      <c r="F22" s="33">
        <f>30/100*D22</f>
        <v>0.6</v>
      </c>
      <c r="G22" s="34" t="s">
        <v>58</v>
      </c>
    </row>
    <row r="23" spans="1:8" ht="21.75" customHeight="1" x14ac:dyDescent="0.25">
      <c r="A23" s="40"/>
      <c r="B23" s="30" t="s">
        <v>72</v>
      </c>
      <c r="C23" s="31">
        <v>5</v>
      </c>
      <c r="D23" s="32">
        <f>MAX('⚙ Parámetros'!D17/(1+2^(-'⚙ Parámetros'!C17*(C23-'⚙ Parámetros'!B17))),'⚙ Parámetros'!G17/(1+2^(-'⚙ Parámetros'!F17*(C23-'⚙ Parámetros'!E17))),1)</f>
        <v>2</v>
      </c>
      <c r="E23" s="33">
        <f>25/100*D23*C23</f>
        <v>2.5</v>
      </c>
      <c r="F23" s="33">
        <f>25/100*D23</f>
        <v>0.5</v>
      </c>
      <c r="G23" s="34" t="s">
        <v>67</v>
      </c>
      <c r="H23" s="36">
        <f>IFERROR(SUM(E22:E25)/SUM(F22:F25),0)</f>
        <v>5</v>
      </c>
    </row>
    <row r="24" spans="1:8" ht="21.75" customHeight="1" x14ac:dyDescent="0.25">
      <c r="A24" s="40"/>
      <c r="B24" s="30" t="s">
        <v>73</v>
      </c>
      <c r="C24" s="31">
        <v>5</v>
      </c>
      <c r="D24" s="32">
        <f>MAX('⚙ Parámetros'!D17/(1+2^(-'⚙ Parámetros'!C17*(C24-'⚙ Parámetros'!B17))),'⚙ Parámetros'!G17/(1+2^(-'⚙ Parámetros'!F17*(C24-'⚙ Parámetros'!E17))),1)</f>
        <v>2</v>
      </c>
      <c r="E24" s="33">
        <f>25/100*D24*C24</f>
        <v>2.5</v>
      </c>
      <c r="F24" s="33">
        <f>25/100*D24</f>
        <v>0.5</v>
      </c>
      <c r="G24" s="34" t="s">
        <v>67</v>
      </c>
    </row>
    <row r="25" spans="1:8" ht="21.75" customHeight="1" x14ac:dyDescent="0.25">
      <c r="A25" s="40"/>
      <c r="B25" s="30" t="s">
        <v>74</v>
      </c>
      <c r="C25" s="31">
        <v>5</v>
      </c>
      <c r="D25" s="32">
        <f>MAX('⚙ Parámetros'!D17/(1+2^(-'⚙ Parámetros'!C17*(C25-'⚙ Parámetros'!B17))),'⚙ Parámetros'!G17/(1+2^(-'⚙ Parámetros'!F17*(C25-'⚙ Parámetros'!E17))),1)</f>
        <v>2</v>
      </c>
      <c r="E25" s="33">
        <f>20/100*D25*C25</f>
        <v>2</v>
      </c>
      <c r="F25" s="33">
        <f>20/100*D25</f>
        <v>0.4</v>
      </c>
      <c r="G25" s="34" t="s">
        <v>61</v>
      </c>
    </row>
    <row r="26" spans="1:8" ht="21.75" customHeight="1" x14ac:dyDescent="0.25">
      <c r="A26" s="41" t="s">
        <v>75</v>
      </c>
      <c r="B26" s="30" t="s">
        <v>76</v>
      </c>
      <c r="C26" s="31">
        <v>5</v>
      </c>
      <c r="D26" s="32">
        <f>MAX('⚙ Parámetros'!D18/(1+2^(-'⚙ Parámetros'!C18*(C26-'⚙ Parámetros'!B18))),'⚙ Parámetros'!G18/(1+2^(-'⚙ Parámetros'!F18*(C26-'⚙ Parámetros'!E18))),1)</f>
        <v>2</v>
      </c>
      <c r="E26" s="33">
        <f>30/100*D26*C26</f>
        <v>3</v>
      </c>
      <c r="F26" s="33">
        <f>30/100*D26</f>
        <v>0.6</v>
      </c>
      <c r="G26" s="34" t="s">
        <v>58</v>
      </c>
    </row>
    <row r="27" spans="1:8" ht="21.75" customHeight="1" x14ac:dyDescent="0.25">
      <c r="A27" s="42"/>
      <c r="B27" s="30" t="s">
        <v>77</v>
      </c>
      <c r="C27" s="31">
        <v>5</v>
      </c>
      <c r="D27" s="32">
        <f>MAX('⚙ Parámetros'!D18/(1+2^(-'⚙ Parámetros'!C18*(C27-'⚙ Parámetros'!B18))),'⚙ Parámetros'!G18/(1+2^(-'⚙ Parámetros'!F18*(C27-'⚙ Parámetros'!E18))),1)</f>
        <v>2</v>
      </c>
      <c r="E27" s="33">
        <f>30/100*D27*C27</f>
        <v>3</v>
      </c>
      <c r="F27" s="33">
        <f>30/100*D27</f>
        <v>0.6</v>
      </c>
      <c r="G27" s="34" t="s">
        <v>58</v>
      </c>
      <c r="H27" s="36">
        <f>IFERROR(SUM(E26:E29)/SUM(F26:F29),0)</f>
        <v>5</v>
      </c>
    </row>
    <row r="28" spans="1:8" ht="21.75" customHeight="1" x14ac:dyDescent="0.25">
      <c r="A28" s="42"/>
      <c r="B28" s="30" t="s">
        <v>78</v>
      </c>
      <c r="C28" s="31">
        <v>5</v>
      </c>
      <c r="D28" s="32">
        <f>MAX('⚙ Parámetros'!D18/(1+2^(-'⚙ Parámetros'!C18*(C28-'⚙ Parámetros'!B18))),'⚙ Parámetros'!G18/(1+2^(-'⚙ Parámetros'!F18*(C28-'⚙ Parámetros'!E18))),1)</f>
        <v>2</v>
      </c>
      <c r="E28" s="33">
        <f>20/100*D28*C28</f>
        <v>2</v>
      </c>
      <c r="F28" s="33">
        <f>20/100*D28</f>
        <v>0.4</v>
      </c>
      <c r="G28" s="34" t="s">
        <v>61</v>
      </c>
    </row>
    <row r="29" spans="1:8" ht="21.75" customHeight="1" x14ac:dyDescent="0.25">
      <c r="A29" s="42"/>
      <c r="B29" s="30" t="s">
        <v>79</v>
      </c>
      <c r="C29" s="31">
        <v>5</v>
      </c>
      <c r="D29" s="32">
        <f>MAX('⚙ Parámetros'!D18/(1+2^(-'⚙ Parámetros'!C18*(C29-'⚙ Parámetros'!B18))),'⚙ Parámetros'!G18/(1+2^(-'⚙ Parámetros'!F18*(C29-'⚙ Parámetros'!E18))),1)</f>
        <v>2</v>
      </c>
      <c r="E29" s="33">
        <f>20/100*D29*C29</f>
        <v>2</v>
      </c>
      <c r="F29" s="33">
        <f>20/100*D29</f>
        <v>0.4</v>
      </c>
      <c r="G29" s="34" t="s">
        <v>61</v>
      </c>
    </row>
    <row r="30" spans="1:8" ht="21.75" customHeight="1" x14ac:dyDescent="0.25">
      <c r="A30" s="43" t="s">
        <v>80</v>
      </c>
      <c r="B30" s="30" t="s">
        <v>81</v>
      </c>
      <c r="C30" s="31">
        <v>5</v>
      </c>
      <c r="D30" s="32">
        <f>MAX('⚙ Parámetros'!D19/(1+2^(-'⚙ Parámetros'!C19*(C30-'⚙ Parámetros'!B19))),'⚙ Parámetros'!G19/(1+2^(-'⚙ Parámetros'!F19*(C30-'⚙ Parámetros'!E19))),1)</f>
        <v>2</v>
      </c>
      <c r="E30" s="33">
        <f>30/100*D30*C30</f>
        <v>3</v>
      </c>
      <c r="F30" s="33">
        <f>30/100*D30</f>
        <v>0.6</v>
      </c>
      <c r="G30" s="34" t="s">
        <v>58</v>
      </c>
    </row>
    <row r="31" spans="1:8" ht="21.75" customHeight="1" x14ac:dyDescent="0.25">
      <c r="A31" s="44"/>
      <c r="B31" s="30" t="s">
        <v>82</v>
      </c>
      <c r="C31" s="31">
        <v>5</v>
      </c>
      <c r="D31" s="32">
        <f>MAX('⚙ Parámetros'!D19/(1+2^(-'⚙ Parámetros'!C19*(C31-'⚙ Parámetros'!B19))),'⚙ Parámetros'!G19/(1+2^(-'⚙ Parámetros'!F19*(C31-'⚙ Parámetros'!E19))),1)</f>
        <v>2</v>
      </c>
      <c r="E31" s="33">
        <f>35/100*D31*C31</f>
        <v>3.5</v>
      </c>
      <c r="F31" s="33">
        <f>35/100*D31</f>
        <v>0.7</v>
      </c>
      <c r="G31" s="34" t="s">
        <v>65</v>
      </c>
      <c r="H31" s="36">
        <f>IFERROR(SUM(E30:E32)/SUM(F30:F32),0)</f>
        <v>5.0000000000000009</v>
      </c>
    </row>
    <row r="32" spans="1:8" ht="21.75" customHeight="1" x14ac:dyDescent="0.25">
      <c r="A32" s="44"/>
      <c r="B32" s="30" t="s">
        <v>83</v>
      </c>
      <c r="C32" s="31">
        <v>5</v>
      </c>
      <c r="D32" s="32">
        <f>MAX('⚙ Parámetros'!D19/(1+2^(-'⚙ Parámetros'!C19*(C32-'⚙ Parámetros'!B19))),'⚙ Parámetros'!G19/(1+2^(-'⚙ Parámetros'!F19*(C32-'⚙ Parámetros'!E19))),1)</f>
        <v>2</v>
      </c>
      <c r="E32" s="33">
        <f>35/100*D32*C32</f>
        <v>3.5</v>
      </c>
      <c r="F32" s="33">
        <f>35/100*D32</f>
        <v>0.7</v>
      </c>
      <c r="G32" s="34" t="s">
        <v>65</v>
      </c>
    </row>
    <row r="33" spans="1:10" ht="21.75" customHeight="1" x14ac:dyDescent="0.25">
      <c r="A33" s="45" t="s">
        <v>84</v>
      </c>
      <c r="B33" s="30" t="s">
        <v>85</v>
      </c>
      <c r="C33" s="31">
        <v>5</v>
      </c>
      <c r="D33" s="32">
        <f>MAX('⚙ Parámetros'!D20/(1+2^(-'⚙ Parámetros'!C20*(C33-'⚙ Parámetros'!B20))),'⚙ Parámetros'!G20/(1+2^(-'⚙ Parámetros'!F20*(C33-'⚙ Parámetros'!E20))),1)</f>
        <v>1.3333333333333333</v>
      </c>
      <c r="E33" s="33">
        <f>35/100*D33*C33</f>
        <v>2.333333333333333</v>
      </c>
      <c r="F33" s="33">
        <f>35/100*D33</f>
        <v>0.46666666666666662</v>
      </c>
      <c r="G33" s="34" t="s">
        <v>65</v>
      </c>
    </row>
    <row r="34" spans="1:10" ht="21.75" customHeight="1" x14ac:dyDescent="0.25">
      <c r="A34" s="46"/>
      <c r="B34" s="30" t="s">
        <v>86</v>
      </c>
      <c r="C34" s="31">
        <v>5</v>
      </c>
      <c r="D34" s="32">
        <f>MAX('⚙ Parámetros'!D20/(1+2^(-'⚙ Parámetros'!C20*(C34-'⚙ Parámetros'!B20))),'⚙ Parámetros'!G20/(1+2^(-'⚙ Parámetros'!F20*(C34-'⚙ Parámetros'!E20))),1)</f>
        <v>1.3333333333333333</v>
      </c>
      <c r="E34" s="33">
        <f>35/100*D34*C34</f>
        <v>2.333333333333333</v>
      </c>
      <c r="F34" s="33">
        <f>35/100*D34</f>
        <v>0.46666666666666662</v>
      </c>
      <c r="G34" s="34" t="s">
        <v>65</v>
      </c>
      <c r="H34" s="36">
        <f>IFERROR(SUM(E33:E35)/SUM(F33:F35),0)</f>
        <v>5</v>
      </c>
    </row>
    <row r="35" spans="1:10" ht="21.75" customHeight="1" x14ac:dyDescent="0.25">
      <c r="A35" s="46"/>
      <c r="B35" s="30" t="s">
        <v>87</v>
      </c>
      <c r="C35" s="31">
        <v>5</v>
      </c>
      <c r="D35" s="32">
        <f>MAX('⚙ Parámetros'!D20/(1+2^(-'⚙ Parámetros'!C20*(C35-'⚙ Parámetros'!B20))),'⚙ Parámetros'!G20/(1+2^(-'⚙ Parámetros'!F20*(C35-'⚙ Parámetros'!E20))),1)</f>
        <v>1.3333333333333333</v>
      </c>
      <c r="E35" s="33">
        <f>30/100*D35*C35</f>
        <v>1.9999999999999998</v>
      </c>
      <c r="F35" s="33">
        <f>30/100*D35</f>
        <v>0.39999999999999997</v>
      </c>
      <c r="G35" s="34" t="s">
        <v>58</v>
      </c>
    </row>
    <row r="36" spans="1:10" ht="7.5" customHeight="1" x14ac:dyDescent="0.25"/>
    <row r="37" spans="1:10" ht="21.75" customHeight="1" x14ac:dyDescent="0.25">
      <c r="A37" s="97" t="s">
        <v>88</v>
      </c>
      <c r="B37" s="97"/>
      <c r="C37" s="97"/>
      <c r="D37" s="97"/>
      <c r="E37" s="97"/>
      <c r="F37" s="97"/>
      <c r="G37" s="97"/>
      <c r="H37" s="97"/>
      <c r="I37" s="97"/>
      <c r="J37" s="97"/>
    </row>
    <row r="38" spans="1:10" ht="21.75" customHeight="1" x14ac:dyDescent="0.25">
      <c r="B38" s="22" t="s">
        <v>89</v>
      </c>
      <c r="C38" s="103">
        <f>('⚙ Parámetros'!B5/100*H15+'⚙ Parámetros'!B6/100*H19+'⚙ Parámetros'!B7/100*H23+'⚙ Parámetros'!B8/100*H27+'⚙ Parámetros'!B9/100*H31+'⚙ Parámetros'!B10/100*H34)</f>
        <v>5</v>
      </c>
      <c r="D38" s="103"/>
      <c r="E38" s="103"/>
    </row>
    <row r="39" spans="1:10" ht="21.75" customHeight="1" x14ac:dyDescent="0.25">
      <c r="B39" s="22" t="s">
        <v>46</v>
      </c>
      <c r="C39" s="104">
        <f ca="1">IFERROR(MIN(1+IF(C7&lt;&gt;"",MAX(0,TODAY()-DATEVALUE(C7))/365,0)*'⚙ Parámetros'!B33,'⚙ Parámetros'!B34),1)</f>
        <v>1</v>
      </c>
      <c r="D39" s="104"/>
      <c r="E39" s="104"/>
    </row>
    <row r="40" spans="1:10" ht="27.75" customHeight="1" x14ac:dyDescent="0.25">
      <c r="B40" s="22" t="s">
        <v>90</v>
      </c>
      <c r="C40" s="105">
        <f ca="1">IFERROR(MIN((('⚙ Parámetros'!B5/100*H15+'⚙ Parámetros'!B6/100*H19+'⚙ Parámetros'!B7/100*H23+'⚙ Parámetros'!B8/100*H27+'⚙ Parámetros'!B9/100*H31+'⚙ Parámetros'!B10/100*H34))*MIN(1+IF(C7&lt;&gt;"",MAX(0,TODAY()-DATEVALUE(C7))/365,0)*'⚙ Parámetros'!B33,'⚙ Parámetros'!B34),10),0)</f>
        <v>0</v>
      </c>
      <c r="D40" s="105"/>
      <c r="E40" s="105"/>
    </row>
    <row r="41" spans="1:10" ht="24" customHeight="1" x14ac:dyDescent="0.25">
      <c r="B41" s="22" t="s">
        <v>91</v>
      </c>
      <c r="C41" s="101" t="str">
        <f>IFERROR(IF(C4&lt;&gt;"",IF(HH15&gt;='⚙ Parámetros'!B23,"⚑ AUTO-PRIORITARIO (D1≥8)",IF(C40&gt;='⚙ Parámetros'!B23,"PRIORITARIO ESTRATÉGICO",IF(C40&gt;='⚙ Parámetros'!B24,"ALTA PRIORIDAD",IF(C40&gt;='⚙ Parámetros'!B25,"PRIORIDAD MEDIA",IF(C40&gt;='⚙ Parámetros'!B26,"BAJA PRIORIDAD","DESCARTAR"))))),"Sin evaluar"),"Sin evaluar")</f>
        <v>Sin evaluar</v>
      </c>
      <c r="D41" s="101"/>
      <c r="E41" s="101"/>
      <c r="F41" s="101"/>
      <c r="G41" s="101"/>
      <c r="H41" s="101"/>
    </row>
    <row r="42" spans="1:10" ht="21.75" customHeight="1" x14ac:dyDescent="0.25">
      <c r="B42" s="22" t="s">
        <v>92</v>
      </c>
      <c r="C42" s="3"/>
      <c r="D42" s="47" t="s">
        <v>93</v>
      </c>
      <c r="E42" s="102" t="str">
        <f>IF(C42="","Sin estimar",IF(C42&lt;'⚙ Parámetros'!B29,"🟢 Corto",IF(C42&lt;'⚙ Parámetros'!B30,"🟡 Medio","🔴 Largo")))</f>
        <v>Sin estimar</v>
      </c>
      <c r="F42" s="102"/>
      <c r="G42" s="102"/>
    </row>
  </sheetData>
  <mergeCells count="17">
    <mergeCell ref="A1:J1"/>
    <mergeCell ref="A2:J2"/>
    <mergeCell ref="A3:J3"/>
    <mergeCell ref="C4:H4"/>
    <mergeCell ref="C5:H5"/>
    <mergeCell ref="C6:H6"/>
    <mergeCell ref="C7:H7"/>
    <mergeCell ref="C8:H8"/>
    <mergeCell ref="C9:H9"/>
    <mergeCell ref="C10:H10"/>
    <mergeCell ref="C41:H41"/>
    <mergeCell ref="E42:G42"/>
    <mergeCell ref="A12:J12"/>
    <mergeCell ref="A37:J37"/>
    <mergeCell ref="C38:E38"/>
    <mergeCell ref="C39:E39"/>
    <mergeCell ref="C40:E4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199"/>
  <sheetViews>
    <sheetView showGridLines="0" tabSelected="1" zoomScaleNormal="100" workbookViewId="0">
      <pane xSplit="5" ySplit="5" topLeftCell="W6" activePane="bottomRight" state="frozen"/>
      <selection pane="topRight" activeCell="F1" sqref="F1"/>
      <selection pane="bottomLeft" activeCell="A6" sqref="A6"/>
      <selection pane="bottomRight" activeCell="AB9" sqref="AB9"/>
    </sheetView>
  </sheetViews>
  <sheetFormatPr baseColWidth="10" defaultColWidth="8.7109375" defaultRowHeight="15" x14ac:dyDescent="0.25"/>
  <cols>
    <col min="1" max="1" width="28" customWidth="1"/>
    <col min="2" max="2" width="44" customWidth="1"/>
    <col min="3" max="3" width="15" customWidth="1"/>
    <col min="4" max="4" width="18" customWidth="1"/>
    <col min="5" max="5" width="11" customWidth="1"/>
    <col min="6" max="27" width="5.5703125" customWidth="1"/>
    <col min="28" max="33" width="7" customWidth="1"/>
    <col min="34" max="34" width="9" customWidth="1"/>
    <col min="35" max="35" width="7" customWidth="1"/>
    <col min="36" max="36" width="11" customWidth="1"/>
    <col min="37" max="37" width="24" customWidth="1"/>
    <col min="38" max="38" width="7" customWidth="1"/>
    <col min="39" max="39" width="8" customWidth="1"/>
    <col min="40" max="40" width="11" customWidth="1"/>
  </cols>
  <sheetData>
    <row r="1" spans="1:40" ht="27.75" customHeight="1" x14ac:dyDescent="0.25">
      <c r="A1" s="95" t="s">
        <v>94</v>
      </c>
    </row>
    <row r="2" spans="1:40" ht="13.5" customHeight="1" x14ac:dyDescent="0.25">
      <c r="A2" s="96" t="s">
        <v>95</v>
      </c>
    </row>
    <row r="3" spans="1:40" ht="3" customHeight="1" x14ac:dyDescent="0.25">
      <c r="A3" s="48"/>
    </row>
    <row r="4" spans="1:40" ht="25.5" customHeight="1" x14ac:dyDescent="0.25">
      <c r="A4" s="49" t="s">
        <v>96</v>
      </c>
      <c r="B4" s="49" t="s">
        <v>37</v>
      </c>
      <c r="C4" s="49" t="s">
        <v>97</v>
      </c>
      <c r="D4" s="49" t="s">
        <v>98</v>
      </c>
      <c r="E4" s="49" t="s">
        <v>99</v>
      </c>
      <c r="F4" s="50" t="s">
        <v>56</v>
      </c>
      <c r="G4" s="51"/>
      <c r="H4" s="50" t="s">
        <v>63</v>
      </c>
      <c r="I4" s="51"/>
      <c r="J4" s="52" t="s">
        <v>63</v>
      </c>
      <c r="K4" s="53"/>
      <c r="L4" s="52" t="s">
        <v>70</v>
      </c>
      <c r="M4" s="53"/>
      <c r="N4" s="54" t="s">
        <v>70</v>
      </c>
      <c r="O4" s="55"/>
      <c r="P4" s="54" t="s">
        <v>75</v>
      </c>
      <c r="Q4" s="55"/>
      <c r="R4" s="56" t="s">
        <v>75</v>
      </c>
      <c r="S4" s="57"/>
      <c r="T4" s="56" t="s">
        <v>80</v>
      </c>
      <c r="U4" s="57"/>
      <c r="V4" s="58" t="s">
        <v>80</v>
      </c>
      <c r="W4" s="58" t="s">
        <v>84</v>
      </c>
      <c r="X4" s="59"/>
      <c r="Y4" s="60" t="s">
        <v>84</v>
      </c>
      <c r="Z4" s="61"/>
      <c r="AA4" s="61" t="s">
        <v>56</v>
      </c>
      <c r="AB4" s="49" t="s">
        <v>56</v>
      </c>
      <c r="AC4" s="49" t="s">
        <v>63</v>
      </c>
      <c r="AD4" s="49" t="s">
        <v>70</v>
      </c>
      <c r="AE4" s="49" t="s">
        <v>75</v>
      </c>
      <c r="AF4" s="49" t="s">
        <v>80</v>
      </c>
      <c r="AG4" s="49" t="s">
        <v>84</v>
      </c>
      <c r="AH4" s="49" t="s">
        <v>100</v>
      </c>
      <c r="AI4" s="49" t="s">
        <v>101</v>
      </c>
      <c r="AJ4" s="62" t="s">
        <v>102</v>
      </c>
      <c r="AK4" s="62" t="s">
        <v>91</v>
      </c>
      <c r="AL4" s="49" t="s">
        <v>103</v>
      </c>
      <c r="AM4" s="49" t="s">
        <v>104</v>
      </c>
      <c r="AN4" s="49" t="s">
        <v>93</v>
      </c>
    </row>
    <row r="5" spans="1:40" ht="27.75" customHeight="1" x14ac:dyDescent="0.25">
      <c r="A5" s="34" t="s">
        <v>96</v>
      </c>
      <c r="B5" s="34" t="s">
        <v>105</v>
      </c>
      <c r="C5" s="34" t="s">
        <v>97</v>
      </c>
      <c r="D5" s="34" t="s">
        <v>98</v>
      </c>
      <c r="E5" s="34" t="s">
        <v>106</v>
      </c>
      <c r="F5" s="63" t="s">
        <v>107</v>
      </c>
      <c r="G5" s="63" t="s">
        <v>108</v>
      </c>
      <c r="H5" s="63" t="s">
        <v>109</v>
      </c>
      <c r="I5" s="63" t="s">
        <v>110</v>
      </c>
      <c r="J5" s="64" t="s">
        <v>111</v>
      </c>
      <c r="K5" s="64" t="s">
        <v>112</v>
      </c>
      <c r="L5" s="64" t="s">
        <v>113</v>
      </c>
      <c r="M5" s="64" t="s">
        <v>114</v>
      </c>
      <c r="N5" s="65" t="s">
        <v>115</v>
      </c>
      <c r="O5" s="65" t="s">
        <v>116</v>
      </c>
      <c r="P5" s="65" t="s">
        <v>117</v>
      </c>
      <c r="Q5" s="65" t="s">
        <v>118</v>
      </c>
      <c r="R5" s="66" t="s">
        <v>119</v>
      </c>
      <c r="S5" s="66" t="s">
        <v>120</v>
      </c>
      <c r="T5" s="66" t="s">
        <v>121</v>
      </c>
      <c r="U5" s="66" t="s">
        <v>122</v>
      </c>
      <c r="V5" s="67" t="s">
        <v>123</v>
      </c>
      <c r="W5" s="67" t="s">
        <v>124</v>
      </c>
      <c r="X5" s="67" t="s">
        <v>125</v>
      </c>
      <c r="Y5" s="68" t="s">
        <v>126</v>
      </c>
      <c r="Z5" s="68" t="s">
        <v>127</v>
      </c>
      <c r="AA5" s="68" t="s">
        <v>128</v>
      </c>
      <c r="AB5" s="34" t="s">
        <v>56</v>
      </c>
      <c r="AC5" s="34" t="s">
        <v>63</v>
      </c>
      <c r="AD5" s="34" t="s">
        <v>70</v>
      </c>
      <c r="AE5" s="34" t="s">
        <v>75</v>
      </c>
      <c r="AF5" s="34" t="s">
        <v>80</v>
      </c>
      <c r="AG5" s="34" t="s">
        <v>84</v>
      </c>
      <c r="AH5" s="34" t="s">
        <v>100</v>
      </c>
      <c r="AI5" s="34" t="s">
        <v>101</v>
      </c>
      <c r="AJ5" s="34" t="s">
        <v>129</v>
      </c>
      <c r="AK5" s="34" t="s">
        <v>55</v>
      </c>
      <c r="AL5" s="34" t="s">
        <v>103</v>
      </c>
      <c r="AM5" s="34" t="s">
        <v>104</v>
      </c>
      <c r="AN5" s="34" t="s">
        <v>93</v>
      </c>
    </row>
    <row r="6" spans="1:40" ht="18.75" customHeight="1" x14ac:dyDescent="0.25">
      <c r="A6" s="69">
        <v>1</v>
      </c>
      <c r="B6" s="70" t="s">
        <v>130</v>
      </c>
      <c r="C6" s="4" t="s">
        <v>131</v>
      </c>
      <c r="D6" s="71" t="s">
        <v>132</v>
      </c>
      <c r="E6" s="72" t="s">
        <v>133</v>
      </c>
      <c r="F6" s="73">
        <v>9</v>
      </c>
      <c r="G6" s="73">
        <v>5</v>
      </c>
      <c r="H6" s="74">
        <v>9</v>
      </c>
      <c r="I6" s="73">
        <v>5</v>
      </c>
      <c r="J6" s="73">
        <v>7</v>
      </c>
      <c r="K6" s="74">
        <v>1</v>
      </c>
      <c r="L6" s="75">
        <v>8</v>
      </c>
      <c r="M6" s="73">
        <v>3</v>
      </c>
      <c r="N6" s="73">
        <v>7</v>
      </c>
      <c r="O6" s="73">
        <v>6</v>
      </c>
      <c r="P6" s="73">
        <v>7</v>
      </c>
      <c r="Q6" s="73">
        <v>6</v>
      </c>
      <c r="R6" s="76">
        <v>9</v>
      </c>
      <c r="S6" s="76">
        <v>9</v>
      </c>
      <c r="T6" s="73">
        <v>5</v>
      </c>
      <c r="U6" s="73">
        <v>5</v>
      </c>
      <c r="V6" s="77">
        <v>8</v>
      </c>
      <c r="W6" s="73">
        <v>6</v>
      </c>
      <c r="X6" s="73">
        <v>3</v>
      </c>
      <c r="Y6" s="78">
        <v>9</v>
      </c>
      <c r="Z6" s="74">
        <v>2</v>
      </c>
      <c r="AA6" s="79">
        <v>5</v>
      </c>
      <c r="AB6" s="80">
        <v>7</v>
      </c>
      <c r="AC6" s="80">
        <f>IFERROR((35/100*MAX('⚙ Parámetros'!D16/(1+2^(-'⚙ Parámetros'!C16*(J6-'⚙ Parámetros'!B16))),'⚙ Parámetros'!G16/(1+2^(-'⚙ Parámetros'!F16*(J6-'⚙ Parámetros'!E16))),1)*J6+25/100*MAX('⚙ Parámetros'!D16/(1+2^(-'⚙ Parámetros'!C16*(K6-'⚙ Parámetros'!B16))),'⚙ Parámetros'!G16/(1+2^(-'⚙ Parámetros'!F16*(K6-'⚙ Parámetros'!E16))),1)*K6+20/100*MAX('⚙ Parámetros'!D16/(1+2^(-'⚙ Parámetros'!C16*(L6-'⚙ Parámetros'!B16))),'⚙ Parámetros'!G16/(1+2^(-'⚙ Parámetros'!F16*(L6-'⚙ Parámetros'!E16))),1)*L6+20/100*MAX('⚙ Parámetros'!D16/(1+2^(-'⚙ Parámetros'!C16*(M6-'⚙ Parámetros'!B16))),'⚙ Parámetros'!G16/(1+2^(-'⚙ Parámetros'!F16*(M6-'⚙ Parámetros'!E16))),1)*M6)/(35/100*MAX('⚙ Parámetros'!D16/(1+2^(-'⚙ Parámetros'!C16*(J6-'⚙ Parámetros'!B16))),'⚙ Parámetros'!G16/(1+2^(-'⚙ Parámetros'!F16*(J6-'⚙ Parámetros'!E16))),1)+25/100*MAX('⚙ Parámetros'!D16/(1+2^(-'⚙ Parámetros'!C16*(K6-'⚙ Parámetros'!B16))),'⚙ Parámetros'!G16/(1+2^(-'⚙ Parámetros'!F16*(K6-'⚙ Parámetros'!E16))),1)+20/100*MAX('⚙ Parámetros'!D16/(1+2^(-'⚙ Parámetros'!C16*(L6-'⚙ Parámetros'!B16))),'⚙ Parámetros'!G16/(1+2^(-'⚙ Parámetros'!F16*(L6-'⚙ Parámetros'!E16))),1)+20/100*MAX('⚙ Parámetros'!D16/(1+2^(-'⚙ Parámetros'!C16*(M6-'⚙ Parámetros'!B16))),'⚙ Parámetros'!G16/(1+2^(-'⚙ Parámetros'!F16*(M6-'⚙ Parámetros'!E16))),1)),0)</f>
        <v>6.3868613138686126</v>
      </c>
      <c r="AD6" s="80">
        <f>IFERROR((30/100*MAX('⚙ Parámetros'!D17/(1+2^(-'⚙ Parámetros'!C17*(N6-'⚙ Parámetros'!B17))),'⚙ Parámetros'!G17/(1+2^(-'⚙ Parámetros'!F17*(N6-'⚙ Parámetros'!E17))),1)*N6+25/100*MAX('⚙ Parámetros'!D17/(1+2^(-'⚙ Parámetros'!C17*(O6-'⚙ Parámetros'!B17))),'⚙ Parámetros'!G17/(1+2^(-'⚙ Parámetros'!F17*(O6-'⚙ Parámetros'!E17))),1)*O6+25/100*MAX('⚙ Parámetros'!D17/(1+2^(-'⚙ Parámetros'!C17*(P6-'⚙ Parámetros'!B17))),'⚙ Parámetros'!G17/(1+2^(-'⚙ Parámetros'!F17*(P6-'⚙ Parámetros'!E17))),1)*P6+20/100*MAX('⚙ Parámetros'!D17/(1+2^(-'⚙ Parámetros'!C17*(Q6-'⚙ Parámetros'!B17))),'⚙ Parámetros'!G17/(1+2^(-'⚙ Parámetros'!F17*(Q6-'⚙ Parámetros'!E17))),1)*Q6)/(30/100*MAX('⚙ Parámetros'!D17/(1+2^(-'⚙ Parámetros'!C17*(N6-'⚙ Parámetros'!B17))),'⚙ Parámetros'!G17/(1+2^(-'⚙ Parámetros'!F17*(N6-'⚙ Parámetros'!E17))),1)+25/100*MAX('⚙ Parámetros'!D17/(1+2^(-'⚙ Parámetros'!C17*(O6-'⚙ Parámetros'!B17))),'⚙ Parámetros'!G17/(1+2^(-'⚙ Parámetros'!F17*(O6-'⚙ Parámetros'!E17))),1)+25/100*MAX('⚙ Parámetros'!D17/(1+2^(-'⚙ Parámetros'!C17*(P6-'⚙ Parámetros'!B17))),'⚙ Parámetros'!G17/(1+2^(-'⚙ Parámetros'!F17*(P6-'⚙ Parámetros'!E17))),1)+20/100*MAX('⚙ Parámetros'!D17/(1+2^(-'⚙ Parámetros'!C17*(Q6-'⚙ Parámetros'!B17))),'⚙ Parámetros'!G17/(1+2^(-'⚙ Parámetros'!F17*(Q6-'⚙ Parámetros'!E17))),1)),0)</f>
        <v>6.5759162303664924</v>
      </c>
      <c r="AE6" s="80">
        <f>IFERROR((30/100*MAX('⚙ Parámetros'!D18/(1+2^(-'⚙ Parámetros'!C18*(R6-'⚙ Parámetros'!B18))),'⚙ Parámetros'!G18/(1+2^(-'⚙ Parámetros'!F18*(R6-'⚙ Parámetros'!E18))),1)*R6+30/100*MAX('⚙ Parámetros'!D18/(1+2^(-'⚙ Parámetros'!C18*(S6-'⚙ Parámetros'!B18))),'⚙ Parámetros'!G18/(1+2^(-'⚙ Parámetros'!F18*(S6-'⚙ Parámetros'!E18))),1)*S6+20/100*MAX('⚙ Parámetros'!D18/(1+2^(-'⚙ Parámetros'!C18*(T6-'⚙ Parámetros'!B18))),'⚙ Parámetros'!G18/(1+2^(-'⚙ Parámetros'!F18*(T6-'⚙ Parámetros'!E18))),1)*T6+20/100*MAX('⚙ Parámetros'!D18/(1+2^(-'⚙ Parámetros'!C18*(U6-'⚙ Parámetros'!B18))),'⚙ Parámetros'!G18/(1+2^(-'⚙ Parámetros'!F18*(U6-'⚙ Parámetros'!E18))),1)*U6)/(30/100*MAX('⚙ Parámetros'!D18/(1+2^(-'⚙ Parámetros'!C18*(R6-'⚙ Parámetros'!B18))),'⚙ Parámetros'!G18/(1+2^(-'⚙ Parámetros'!F18*(R6-'⚙ Parámetros'!E18))),1)+30/100*MAX('⚙ Parámetros'!D18/(1+2^(-'⚙ Parámetros'!C18*(S6-'⚙ Parámetros'!B18))),'⚙ Parámetros'!G18/(1+2^(-'⚙ Parámetros'!F18*(S6-'⚙ Parámetros'!E18))),1)+20/100*MAX('⚙ Parámetros'!D18/(1+2^(-'⚙ Parámetros'!C18*(T6-'⚙ Parámetros'!B18))),'⚙ Parámetros'!G18/(1+2^(-'⚙ Parámetros'!F18*(T6-'⚙ Parámetros'!E18))),1)+20/100*MAX('⚙ Parámetros'!D18/(1+2^(-'⚙ Parámetros'!C18*(U6-'⚙ Parámetros'!B18))),'⚙ Parámetros'!G18/(1+2^(-'⚙ Parámetros'!F18*(U6-'⚙ Parámetros'!E18))),1)),0)</f>
        <v>8.1801060365339655</v>
      </c>
      <c r="AF6" s="80">
        <f>IFERROR((30/100*MAX('⚙ Parámetros'!D19/(1+2^(-'⚙ Parámetros'!C19*(V6-'⚙ Parámetros'!B19))),'⚙ Parámetros'!G19/(1+2^(-'⚙ Parámetros'!F19*(V6-'⚙ Parámetros'!E19))),1)*V6+35/100*MAX('⚙ Parámetros'!D19/(1+2^(-'⚙ Parámetros'!C19*(W6-'⚙ Parámetros'!B19))),'⚙ Parámetros'!G19/(1+2^(-'⚙ Parámetros'!F19*(W6-'⚙ Parámetros'!E19))),1)*W6+35/100*MAX('⚙ Parámetros'!D19/(1+2^(-'⚙ Parámetros'!C19*(X6-'⚙ Parámetros'!B19))),'⚙ Parámetros'!G19/(1+2^(-'⚙ Parámetros'!F19*(X6-'⚙ Parámetros'!E19))),1)*X6)/(30/100*MAX('⚙ Parámetros'!D19/(1+2^(-'⚙ Parámetros'!C19*(V6-'⚙ Parámetros'!B19))),'⚙ Parámetros'!G19/(1+2^(-'⚙ Parámetros'!F19*(V6-'⚙ Parámetros'!E19))),1)+35/100*MAX('⚙ Parámetros'!D19/(1+2^(-'⚙ Parámetros'!C19*(W6-'⚙ Parámetros'!B19))),'⚙ Parámetros'!G19/(1+2^(-'⚙ Parámetros'!F19*(W6-'⚙ Parámetros'!E19))),1)+35/100*MAX('⚙ Parámetros'!D19/(1+2^(-'⚙ Parámetros'!C19*(X6-'⚙ Parámetros'!B19))),'⚙ Parámetros'!G19/(1+2^(-'⚙ Parámetros'!F19*(X6-'⚙ Parámetros'!E19))),1)),0)</f>
        <v>6.46875</v>
      </c>
      <c r="AG6" s="80">
        <f>IFERROR((35/100*MAX('⚙ Parámetros'!D20/(1+2^(-'⚙ Parámetros'!C20*(Y6-'⚙ Parámetros'!B20))),'⚙ Parámetros'!G20/(1+2^(-'⚙ Parámetros'!F20*(Y6-'⚙ Parámetros'!E20))),1)*Y6+35/100*MAX('⚙ Parámetros'!D20/(1+2^(-'⚙ Parámetros'!C20*(Z6-'⚙ Parámetros'!B20))),'⚙ Parámetros'!G20/(1+2^(-'⚙ Parámetros'!F20*(Z6-'⚙ Parámetros'!E20))),1)*Z6+30/100*MAX('⚙ Parámetros'!D20/(1+2^(-'⚙ Parámetros'!C20*(AA6-'⚙ Parámetros'!B20))),'⚙ Parámetros'!G20/(1+2^(-'⚙ Parámetros'!F20*(AA6-'⚙ Parámetros'!E20))),1)*AA6)/(35/100*MAX('⚙ Parámetros'!D20/(1+2^(-'⚙ Parámetros'!C20*(Y6-'⚙ Parámetros'!B20))),'⚙ Parámetros'!G20/(1+2^(-'⚙ Parámetros'!F20*(Y6-'⚙ Parámetros'!E20))),1)+35/100*MAX('⚙ Parámetros'!D20/(1+2^(-'⚙ Parámetros'!C20*(Z6-'⚙ Parámetros'!B20))),'⚙ Parámetros'!G20/(1+2^(-'⚙ Parámetros'!F20*(Z6-'⚙ Parámetros'!E20))),1)+30/100*MAX('⚙ Parámetros'!D20/(1+2^(-'⚙ Parámetros'!C20*(AA6-'⚙ Parámetros'!B20))),'⚙ Parámetros'!G20/(1+2^(-'⚙ Parámetros'!F20*(AA6-'⚙ Parámetros'!E20))),1)),0)</f>
        <v>7.1162790697674421</v>
      </c>
      <c r="AH6" s="81">
        <f>('⚙ Parámetros'!B5/100*AB6+'⚙ Parámetros'!B6/100*AC6+'⚙ Parámetros'!B7/100*AD6+'⚙ Parámetros'!B8/100*AE6+'⚙ Parámetros'!B9/100*AF6+'⚙ Parámetros'!B10/100*AG6)</f>
        <v>6.8903455588124913</v>
      </c>
      <c r="AI6" s="33">
        <f ca="1">MIN(1+MAX(0,TODAY()-DATE(2024,12,23))/365*'⚙ Parámetros'!B33,'⚙ Parámetros'!B34)</f>
        <v>1.2202739726027396</v>
      </c>
      <c r="AJ6" s="82">
        <f t="shared" ref="AJ6:AJ36" ca="1" si="0">IFERROR(MIN(AH6*AI6,10),0)</f>
        <v>8.4081093476577635</v>
      </c>
      <c r="AK6" s="83" t="str">
        <f ca="1">IF(AB6&gt;='⚙ Parámetros'!B23,"⚑ AUTO-PRIOR.(D1≥8)",IF(AJ6&gt;='⚙ Parámetros'!B23,"PRIORITARIO",IF(AJ6&gt;='⚙ Parámetros'!B24,"ALTA PRIORIDAD",IF(AJ6&gt;='⚙ Parámetros'!B25,"PRIORIDAD MEDIA",IF(AJ6&gt;='⚙ Parámetros'!B26,"BAJA PRIORIDAD","DESCARTAR")))))</f>
        <v>ALTA PRIORIDAD</v>
      </c>
      <c r="AL6" s="84" t="str">
        <f t="shared" ref="AL6:AL36" si="1">IF(AB6&gt;=8,"SÍ ⚑","—")</f>
        <v>—</v>
      </c>
      <c r="AM6" s="85">
        <v>50</v>
      </c>
      <c r="AN6" s="83" t="str">
        <f>IF(AM6="","—",IF(AM6&lt;'⚙ Parámetros'!B29,"🟢 Corto",IF(AM6&lt;'⚙ Parámetros'!B30,"🟡 Medio","🔴 Largo")))</f>
        <v>🟡 Medio</v>
      </c>
    </row>
    <row r="7" spans="1:40" ht="18.75" customHeight="1" x14ac:dyDescent="0.25">
      <c r="A7" s="69">
        <v>2</v>
      </c>
      <c r="B7" s="30" t="s">
        <v>134</v>
      </c>
      <c r="C7" s="26" t="s">
        <v>135</v>
      </c>
      <c r="D7" s="71" t="s">
        <v>136</v>
      </c>
      <c r="E7" s="72" t="s">
        <v>137</v>
      </c>
      <c r="F7" s="86">
        <v>6</v>
      </c>
      <c r="G7" s="86">
        <v>5</v>
      </c>
      <c r="H7" s="86">
        <v>5</v>
      </c>
      <c r="I7" s="86">
        <v>5</v>
      </c>
      <c r="J7" s="75">
        <v>10</v>
      </c>
      <c r="K7" s="75">
        <v>8</v>
      </c>
      <c r="L7" s="75">
        <v>8</v>
      </c>
      <c r="M7" s="75">
        <v>9</v>
      </c>
      <c r="N7" s="87">
        <v>8</v>
      </c>
      <c r="O7" s="87">
        <v>8</v>
      </c>
      <c r="P7" s="74">
        <v>1</v>
      </c>
      <c r="Q7" s="87">
        <v>8</v>
      </c>
      <c r="R7" s="86">
        <v>6</v>
      </c>
      <c r="S7" s="86">
        <v>5</v>
      </c>
      <c r="T7" s="86">
        <v>5</v>
      </c>
      <c r="U7" s="86">
        <v>5</v>
      </c>
      <c r="V7" s="86">
        <v>5</v>
      </c>
      <c r="W7" s="86">
        <v>6</v>
      </c>
      <c r="X7" s="86">
        <v>3</v>
      </c>
      <c r="Y7" s="86">
        <v>5</v>
      </c>
      <c r="Z7" s="74">
        <v>2</v>
      </c>
      <c r="AA7" s="88">
        <v>8</v>
      </c>
      <c r="AB7" s="89">
        <f>IFERROR((30/100*MAX('⚙ Parámetros'!D15/(1+2^(-'⚙ Parámetros'!C15*(F7-'⚙ Parámetros'!B15))),'⚙ Parámetros'!G15/(1+2^(-'⚙ Parámetros'!F15*(F7-'⚙ Parámetros'!E15))),1)*F7+30/100*MAX('⚙ Parámetros'!D15/(1+2^(-'⚙ Parámetros'!C15*(G7-'⚙ Parámetros'!B15))),'⚙ Parámetros'!G15/(1+2^(-'⚙ Parámetros'!F15*(G7-'⚙ Parámetros'!E15))),1)*G7+20/100*MAX('⚙ Parámetros'!D15/(1+2^(-'⚙ Parámetros'!C15*(H7-'⚙ Parámetros'!B15))),'⚙ Parámetros'!G15/(1+2^(-'⚙ Parámetros'!F15*(H7-'⚙ Parámetros'!E15))),1)*H7+20/100*MAX('⚙ Parámetros'!D15/(1+2^(-'⚙ Parámetros'!C15*(I7-'⚙ Parámetros'!B15))),'⚙ Parámetros'!G15/(1+2^(-'⚙ Parámetros'!F15*(I7-'⚙ Parámetros'!E15))),1)*I7)/(30/100*MAX('⚙ Parámetros'!D15/(1+2^(-'⚙ Parámetros'!C15*(F7-'⚙ Parámetros'!B15))),'⚙ Parámetros'!G15/(1+2^(-'⚙ Parámetros'!F15*(F7-'⚙ Parámetros'!E15))),1)+30/100*MAX('⚙ Parámetros'!D15/(1+2^(-'⚙ Parámetros'!C15*(G7-'⚙ Parámetros'!B15))),'⚙ Parámetros'!G15/(1+2^(-'⚙ Parámetros'!F15*(G7-'⚙ Parámetros'!E15))),1)+20/100*MAX('⚙ Parámetros'!D15/(1+2^(-'⚙ Parámetros'!C15*(H7-'⚙ Parámetros'!B15))),'⚙ Parámetros'!G15/(1+2^(-'⚙ Parámetros'!F15*(H7-'⚙ Parámetros'!E15))),1)+20/100*MAX('⚙ Parámetros'!D15/(1+2^(-'⚙ Parámetros'!C15*(I7-'⚙ Parámetros'!B15))),'⚙ Parámetros'!G15/(1+2^(-'⚙ Parámetros'!F15*(I7-'⚙ Parámetros'!E15))),1)),0)</f>
        <v>5.3253012048192776</v>
      </c>
      <c r="AC7" s="89">
        <f>IFERROR((35/100*MAX('⚙ Parámetros'!D16/(1+2^(-'⚙ Parámetros'!C16*(J7-'⚙ Parámetros'!B16))),'⚙ Parámetros'!G16/(1+2^(-'⚙ Parámetros'!F16*(J7-'⚙ Parámetros'!E16))),1)*J7+25/100*MAX('⚙ Parámetros'!D16/(1+2^(-'⚙ Parámetros'!C16*(K7-'⚙ Parámetros'!B16))),'⚙ Parámetros'!G16/(1+2^(-'⚙ Parámetros'!F16*(K7-'⚙ Parámetros'!E16))),1)*K7+20/100*MAX('⚙ Parámetros'!D16/(1+2^(-'⚙ Parámetros'!C16*(L7-'⚙ Parámetros'!B16))),'⚙ Parámetros'!G16/(1+2^(-'⚙ Parámetros'!F16*(L7-'⚙ Parámetros'!E16))),1)*L7+20/100*MAX('⚙ Parámetros'!D16/(1+2^(-'⚙ Parámetros'!C16*(M7-'⚙ Parámetros'!B16))),'⚙ Parámetros'!G16/(1+2^(-'⚙ Parámetros'!F16*(M7-'⚙ Parámetros'!E16))),1)*M7)/(35/100*MAX('⚙ Parámetros'!D16/(1+2^(-'⚙ Parámetros'!C16*(J7-'⚙ Parámetros'!B16))),'⚙ Parámetros'!G16/(1+2^(-'⚙ Parámetros'!F16*(J7-'⚙ Parámetros'!E16))),1)+25/100*MAX('⚙ Parámetros'!D16/(1+2^(-'⚙ Parámetros'!C16*(K7-'⚙ Parámetros'!B16))),'⚙ Parámetros'!G16/(1+2^(-'⚙ Parámetros'!F16*(K7-'⚙ Parámetros'!E16))),1)+20/100*MAX('⚙ Parámetros'!D16/(1+2^(-'⚙ Parámetros'!C16*(L7-'⚙ Parámetros'!B16))),'⚙ Parámetros'!G16/(1+2^(-'⚙ Parámetros'!F16*(L7-'⚙ Parámetros'!E16))),1)+20/100*MAX('⚙ Parámetros'!D16/(1+2^(-'⚙ Parámetros'!C16*(M7-'⚙ Parámetros'!B16))),'⚙ Parámetros'!G16/(1+2^(-'⚙ Parámetros'!F16*(M7-'⚙ Parámetros'!E16))),1)),0)</f>
        <v>9.146150679291889</v>
      </c>
      <c r="AD7" s="89">
        <f>IFERROR((30/100*MAX('⚙ Parámetros'!D17/(1+2^(-'⚙ Parámetros'!C17*(N7-'⚙ Parámetros'!B17))),'⚙ Parámetros'!G17/(1+2^(-'⚙ Parámetros'!F17*(N7-'⚙ Parámetros'!E17))),1)*N7+25/100*MAX('⚙ Parámetros'!D17/(1+2^(-'⚙ Parámetros'!C17*(O7-'⚙ Parámetros'!B17))),'⚙ Parámetros'!G17/(1+2^(-'⚙ Parámetros'!F17*(O7-'⚙ Parámetros'!E17))),1)*O7+25/100*MAX('⚙ Parámetros'!D17/(1+2^(-'⚙ Parámetros'!C17*(P7-'⚙ Parámetros'!B17))),'⚙ Parámetros'!G17/(1+2^(-'⚙ Parámetros'!F17*(P7-'⚙ Parámetros'!E17))),1)*P7+20/100*MAX('⚙ Parámetros'!D17/(1+2^(-'⚙ Parámetros'!C17*(Q7-'⚙ Parámetros'!B17))),'⚙ Parámetros'!G17/(1+2^(-'⚙ Parámetros'!F17*(Q7-'⚙ Parámetros'!E17))),1)*Q7)/(30/100*MAX('⚙ Parámetros'!D17/(1+2^(-'⚙ Parámetros'!C17*(N7-'⚙ Parámetros'!B17))),'⚙ Parámetros'!G17/(1+2^(-'⚙ Parámetros'!F17*(N7-'⚙ Parámetros'!E17))),1)+25/100*MAX('⚙ Parámetros'!D17/(1+2^(-'⚙ Parámetros'!C17*(O7-'⚙ Parámetros'!B17))),'⚙ Parámetros'!G17/(1+2^(-'⚙ Parámetros'!F17*(O7-'⚙ Parámetros'!E17))),1)+25/100*MAX('⚙ Parámetros'!D17/(1+2^(-'⚙ Parámetros'!C17*(P7-'⚙ Parámetros'!B17))),'⚙ Parámetros'!G17/(1+2^(-'⚙ Parámetros'!F17*(P7-'⚙ Parámetros'!E17))),1)+20/100*MAX('⚙ Parámetros'!D17/(1+2^(-'⚙ Parámetros'!C17*(Q7-'⚙ Parámetros'!B17))),'⚙ Parámetros'!G17/(1+2^(-'⚙ Parámetros'!F17*(Q7-'⚙ Parámetros'!E17))),1)),0)</f>
        <v>7.4615384615384617</v>
      </c>
      <c r="AE7" s="89">
        <f>IFERROR((30/100*MAX('⚙ Parámetros'!D18/(1+2^(-'⚙ Parámetros'!C18*(R7-'⚙ Parámetros'!B18))),'⚙ Parámetros'!G18/(1+2^(-'⚙ Parámetros'!F18*(R7-'⚙ Parámetros'!E18))),1)*R7+30/100*MAX('⚙ Parámetros'!D18/(1+2^(-'⚙ Parámetros'!C18*(S7-'⚙ Parámetros'!B18))),'⚙ Parámetros'!G18/(1+2^(-'⚙ Parámetros'!F18*(S7-'⚙ Parámetros'!E18))),1)*S7+20/100*MAX('⚙ Parámetros'!D18/(1+2^(-'⚙ Parámetros'!C18*(T7-'⚙ Parámetros'!B18))),'⚙ Parámetros'!G18/(1+2^(-'⚙ Parámetros'!F18*(T7-'⚙ Parámetros'!E18))),1)*T7+20/100*MAX('⚙ Parámetros'!D18/(1+2^(-'⚙ Parámetros'!C18*(U7-'⚙ Parámetros'!B18))),'⚙ Parámetros'!G18/(1+2^(-'⚙ Parámetros'!F18*(U7-'⚙ Parámetros'!E18))),1)*U7)/(30/100*MAX('⚙ Parámetros'!D18/(1+2^(-'⚙ Parámetros'!C18*(R7-'⚙ Parámetros'!B18))),'⚙ Parámetros'!G18/(1+2^(-'⚙ Parámetros'!F18*(R7-'⚙ Parámetros'!E18))),1)+30/100*MAX('⚙ Parámetros'!D18/(1+2^(-'⚙ Parámetros'!C18*(S7-'⚙ Parámetros'!B18))),'⚙ Parámetros'!G18/(1+2^(-'⚙ Parámetros'!F18*(S7-'⚙ Parámetros'!E18))),1)+20/100*MAX('⚙ Parámetros'!D18/(1+2^(-'⚙ Parámetros'!C18*(T7-'⚙ Parámetros'!B18))),'⚙ Parámetros'!G18/(1+2^(-'⚙ Parámetros'!F18*(T7-'⚙ Parámetros'!E18))),1)+20/100*MAX('⚙ Parámetros'!D18/(1+2^(-'⚙ Parámetros'!C18*(U7-'⚙ Parámetros'!B18))),'⚙ Parámetros'!G18/(1+2^(-'⚙ Parámetros'!F18*(U7-'⚙ Parámetros'!E18))),1)),0)</f>
        <v>5.3396226415094352</v>
      </c>
      <c r="AF7" s="89">
        <f>IFERROR((30/100*MAX('⚙ Parámetros'!D19/(1+2^(-'⚙ Parámetros'!C19*(V7-'⚙ Parámetros'!B19))),'⚙ Parámetros'!G19/(1+2^(-'⚙ Parámetros'!F19*(V7-'⚙ Parámetros'!E19))),1)*V7+35/100*MAX('⚙ Parámetros'!D19/(1+2^(-'⚙ Parámetros'!C19*(W7-'⚙ Parámetros'!B19))),'⚙ Parámetros'!G19/(1+2^(-'⚙ Parámetros'!F19*(W7-'⚙ Parámetros'!E19))),1)*W7+35/100*MAX('⚙ Parámetros'!D19/(1+2^(-'⚙ Parámetros'!C19*(X7-'⚙ Parámetros'!B19))),'⚙ Parámetros'!G19/(1+2^(-'⚙ Parámetros'!F19*(X7-'⚙ Parámetros'!E19))),1)*X7)/(30/100*MAX('⚙ Parámetros'!D19/(1+2^(-'⚙ Parámetros'!C19*(V7-'⚙ Parámetros'!B19))),'⚙ Parámetros'!G19/(1+2^(-'⚙ Parámetros'!F19*(V7-'⚙ Parámetros'!E19))),1)+35/100*MAX('⚙ Parámetros'!D19/(1+2^(-'⚙ Parámetros'!C19*(W7-'⚙ Parámetros'!B19))),'⚙ Parámetros'!G19/(1+2^(-'⚙ Parámetros'!F19*(W7-'⚙ Parámetros'!E19))),1)+35/100*MAX('⚙ Parámetros'!D19/(1+2^(-'⚙ Parámetros'!C19*(X7-'⚙ Parámetros'!B19))),'⚙ Parámetros'!G19/(1+2^(-'⚙ Parámetros'!F19*(X7-'⚙ Parámetros'!E19))),1)),0)</f>
        <v>5.0782122905027931</v>
      </c>
      <c r="AG7" s="89">
        <f>IFERROR((35/100*MAX('⚙ Parámetros'!D20/(1+2^(-'⚙ Parámetros'!C20*(Y7-'⚙ Parámetros'!B20))),'⚙ Parámetros'!G20/(1+2^(-'⚙ Parámetros'!F20*(Y7-'⚙ Parámetros'!E20))),1)*Y7+35/100*MAX('⚙ Parámetros'!D20/(1+2^(-'⚙ Parámetros'!C20*(Z7-'⚙ Parámetros'!B20))),'⚙ Parámetros'!G20/(1+2^(-'⚙ Parámetros'!F20*(Z7-'⚙ Parámetros'!E20))),1)*Z7+30/100*MAX('⚙ Parámetros'!D20/(1+2^(-'⚙ Parámetros'!C20*(AA7-'⚙ Parámetros'!B20))),'⚙ Parámetros'!G20/(1+2^(-'⚙ Parámetros'!F20*(AA7-'⚙ Parámetros'!E20))),1)*AA7)/(35/100*MAX('⚙ Parámetros'!D20/(1+2^(-'⚙ Parámetros'!C20*(Y7-'⚙ Parámetros'!B20))),'⚙ Parámetros'!G20/(1+2^(-'⚙ Parámetros'!F20*(Y7-'⚙ Parámetros'!E20))),1)+35/100*MAX('⚙ Parámetros'!D20/(1+2^(-'⚙ Parámetros'!C20*(Z7-'⚙ Parámetros'!B20))),'⚙ Parámetros'!G20/(1+2^(-'⚙ Parámetros'!F20*(Z7-'⚙ Parámetros'!E20))),1)+30/100*MAX('⚙ Parámetros'!D20/(1+2^(-'⚙ Parámetros'!C20*(AA7-'⚙ Parámetros'!B20))),'⚙ Parámetros'!G20/(1+2^(-'⚙ Parámetros'!F20*(AA7-'⚙ Parámetros'!E20))),1)),0)</f>
        <v>5.9611650485436893</v>
      </c>
      <c r="AH7" s="90">
        <f>('⚙ Parámetros'!B5/100*AB7+'⚙ Parámetros'!B6/100*AC7+'⚙ Parámetros'!B7/100*AD7+'⚙ Parámetros'!B8/100*AE7+'⚙ Parámetros'!B9/100*AF7+'⚙ Parámetros'!B10/100*AG7)</f>
        <v>6.54459733952676</v>
      </c>
      <c r="AI7" s="91">
        <f ca="1">MIN(1+MAX(0,TODAY()-DATE(2026,4,21))/365*'⚙ Parámetros'!B33,'⚙ Parámetros'!B34)</f>
        <v>1.0213698630136987</v>
      </c>
      <c r="AJ7" s="82">
        <f t="shared" ca="1" si="0"/>
        <v>6.6844544881522641</v>
      </c>
      <c r="AK7" s="92" t="str">
        <f ca="1">IF(AB7&gt;='⚙ Parámetros'!B23,"⚑ AUTO-PRIOR.(D1≥8)",IF(AJ7&gt;='⚙ Parámetros'!B23,"PRIORITARIO",IF(AJ7&gt;='⚙ Parámetros'!B24,"ALTA PRIORIDAD",IF(AJ7&gt;='⚙ Parámetros'!B25,"PRIORIDAD MEDIA",IF(AJ7&gt;='⚙ Parámetros'!B26,"BAJA PRIORIDAD","DESCARTAR")))))</f>
        <v>PRIORIDAD MEDIA</v>
      </c>
      <c r="AL7" s="69" t="str">
        <f t="shared" si="1"/>
        <v>—</v>
      </c>
      <c r="AM7" s="85">
        <v>250</v>
      </c>
      <c r="AN7" s="83" t="str">
        <f>IF(AM7="","—",IF(AM7&lt;'⚙ Parámetros'!B29,"🟢 Corto",IF(AM7&lt;'⚙ Parámetros'!B30,"🟡 Medio","🔴 Largo")))</f>
        <v>🔴 Largo</v>
      </c>
    </row>
    <row r="8" spans="1:40" ht="18.75" customHeight="1" x14ac:dyDescent="0.25">
      <c r="A8" s="69">
        <v>4</v>
      </c>
      <c r="B8" s="30" t="s">
        <v>141</v>
      </c>
      <c r="C8" s="26" t="s">
        <v>142</v>
      </c>
      <c r="D8" s="71" t="s">
        <v>136</v>
      </c>
      <c r="E8" s="72" t="s">
        <v>143</v>
      </c>
      <c r="F8" s="74">
        <v>9</v>
      </c>
      <c r="G8" s="86">
        <v>5</v>
      </c>
      <c r="H8" s="86">
        <v>7</v>
      </c>
      <c r="I8" s="74">
        <v>8</v>
      </c>
      <c r="J8" s="74">
        <v>1</v>
      </c>
      <c r="K8" s="74">
        <v>1</v>
      </c>
      <c r="L8" s="75">
        <v>8</v>
      </c>
      <c r="M8" s="86">
        <v>3</v>
      </c>
      <c r="N8" s="86">
        <v>7</v>
      </c>
      <c r="O8" s="74">
        <v>1</v>
      </c>
      <c r="P8" s="74">
        <v>1</v>
      </c>
      <c r="Q8" s="87">
        <v>8</v>
      </c>
      <c r="R8" s="86">
        <v>5</v>
      </c>
      <c r="S8" s="86">
        <v>5</v>
      </c>
      <c r="T8" s="86">
        <v>5</v>
      </c>
      <c r="U8" s="76">
        <v>8</v>
      </c>
      <c r="V8" s="77">
        <v>8</v>
      </c>
      <c r="W8" s="86">
        <v>6</v>
      </c>
      <c r="X8" s="77">
        <v>9</v>
      </c>
      <c r="Y8" s="86">
        <v>4</v>
      </c>
      <c r="Z8" s="74">
        <v>2</v>
      </c>
      <c r="AA8" s="93">
        <v>5</v>
      </c>
      <c r="AB8" s="89">
        <f>IFERROR((30/100*MAX('⚙ Parámetros'!D15/(1+2^(-'⚙ Parámetros'!C15*(F8-'⚙ Parámetros'!B15))),'⚙ Parámetros'!G15/(1+2^(-'⚙ Parámetros'!F15*(F8-'⚙ Parámetros'!E15))),1)*F8+30/100*MAX('⚙ Parámetros'!D15/(1+2^(-'⚙ Parámetros'!C15*(G8-'⚙ Parámetros'!B15))),'⚙ Parámetros'!G15/(1+2^(-'⚙ Parámetros'!F15*(G8-'⚙ Parámetros'!E15))),1)*G8+20/100*MAX('⚙ Parámetros'!D15/(1+2^(-'⚙ Parámetros'!C15*(H8-'⚙ Parámetros'!B15))),'⚙ Parámetros'!G15/(1+2^(-'⚙ Parámetros'!F15*(H8-'⚙ Parámetros'!E15))),1)*H8+20/100*MAX('⚙ Parámetros'!D15/(1+2^(-'⚙ Parámetros'!C15*(I8-'⚙ Parámetros'!B15))),'⚙ Parámetros'!G15/(1+2^(-'⚙ Parámetros'!F15*(I8-'⚙ Parámetros'!E15))),1)*I8)/(30/100*MAX('⚙ Parámetros'!D15/(1+2^(-'⚙ Parámetros'!C15*(F8-'⚙ Parámetros'!B15))),'⚙ Parámetros'!G15/(1+2^(-'⚙ Parámetros'!F15*(F8-'⚙ Parámetros'!E15))),1)+30/100*MAX('⚙ Parámetros'!D15/(1+2^(-'⚙ Parámetros'!C15*(G8-'⚙ Parámetros'!B15))),'⚙ Parámetros'!G15/(1+2^(-'⚙ Parámetros'!F15*(G8-'⚙ Parámetros'!E15))),1)+20/100*MAX('⚙ Parámetros'!D15/(1+2^(-'⚙ Parámetros'!C15*(H8-'⚙ Parámetros'!B15))),'⚙ Parámetros'!G15/(1+2^(-'⚙ Parámetros'!F15*(H8-'⚙ Parámetros'!E15))),1)+20/100*MAX('⚙ Parámetros'!D15/(1+2^(-'⚙ Parámetros'!C15*(I8-'⚙ Parámetros'!B15))),'⚙ Parámetros'!G15/(1+2^(-'⚙ Parámetros'!F15*(I8-'⚙ Parámetros'!E15))),1)),0)</f>
        <v>8.0375246872942707</v>
      </c>
      <c r="AC8" s="89">
        <f>IFERROR((35/100*MAX('⚙ Parámetros'!D16/(1+2^(-'⚙ Parámetros'!C16*(J8-'⚙ Parámetros'!B16))),'⚙ Parámetros'!G16/(1+2^(-'⚙ Parámetros'!F16*(J8-'⚙ Parámetros'!E16))),1)*J8+25/100*MAX('⚙ Parámetros'!D16/(1+2^(-'⚙ Parámetros'!C16*(K8-'⚙ Parámetros'!B16))),'⚙ Parámetros'!G16/(1+2^(-'⚙ Parámetros'!F16*(K8-'⚙ Parámetros'!E16))),1)*K8+20/100*MAX('⚙ Parámetros'!D16/(1+2^(-'⚙ Parámetros'!C16*(L8-'⚙ Parámetros'!B16))),'⚙ Parámetros'!G16/(1+2^(-'⚙ Parámetros'!F16*(L8-'⚙ Parámetros'!E16))),1)*L8+20/100*MAX('⚙ Parámetros'!D16/(1+2^(-'⚙ Parámetros'!C16*(M8-'⚙ Parámetros'!B16))),'⚙ Parámetros'!G16/(1+2^(-'⚙ Parámetros'!F16*(M8-'⚙ Parámetros'!E16))),1)*M8)/(35/100*MAX('⚙ Parámetros'!D16/(1+2^(-'⚙ Parámetros'!C16*(J8-'⚙ Parámetros'!B16))),'⚙ Parámetros'!G16/(1+2^(-'⚙ Parámetros'!F16*(J8-'⚙ Parámetros'!E16))),1)+25/100*MAX('⚙ Parámetros'!D16/(1+2^(-'⚙ Parámetros'!C16*(K8-'⚙ Parámetros'!B16))),'⚙ Parámetros'!G16/(1+2^(-'⚙ Parámetros'!F16*(K8-'⚙ Parámetros'!E16))),1)+20/100*MAX('⚙ Parámetros'!D16/(1+2^(-'⚙ Parámetros'!C16*(L8-'⚙ Parámetros'!B16))),'⚙ Parámetros'!G16/(1+2^(-'⚙ Parámetros'!F16*(L8-'⚙ Parámetros'!E16))),1)+20/100*MAX('⚙ Parámetros'!D16/(1+2^(-'⚙ Parámetros'!C16*(M8-'⚙ Parámetros'!B16))),'⚙ Parámetros'!G16/(1+2^(-'⚙ Parámetros'!F16*(M8-'⚙ Parámetros'!E16))),1)),0)</f>
        <v>4.9411764705882355</v>
      </c>
      <c r="AD8" s="89">
        <f>IFERROR((30/100*MAX('⚙ Parámetros'!D17/(1+2^(-'⚙ Parámetros'!C17*(N8-'⚙ Parámetros'!B17))),'⚙ Parámetros'!G17/(1+2^(-'⚙ Parámetros'!F17*(N8-'⚙ Parámetros'!E17))),1)*N8+25/100*MAX('⚙ Parámetros'!D17/(1+2^(-'⚙ Parámetros'!C17*(O8-'⚙ Parámetros'!B17))),'⚙ Parámetros'!G17/(1+2^(-'⚙ Parámetros'!F17*(O8-'⚙ Parámetros'!E17))),1)*O8+25/100*MAX('⚙ Parámetros'!D17/(1+2^(-'⚙ Parámetros'!C17*(P8-'⚙ Parámetros'!B17))),'⚙ Parámetros'!G17/(1+2^(-'⚙ Parámetros'!F17*(P8-'⚙ Parámetros'!E17))),1)*P8+20/100*MAX('⚙ Parámetros'!D17/(1+2^(-'⚙ Parámetros'!C17*(Q8-'⚙ Parámetros'!B17))),'⚙ Parámetros'!G17/(1+2^(-'⚙ Parámetros'!F17*(Q8-'⚙ Parámetros'!E17))),1)*Q8)/(30/100*MAX('⚙ Parámetros'!D17/(1+2^(-'⚙ Parámetros'!C17*(N8-'⚙ Parámetros'!B17))),'⚙ Parámetros'!G17/(1+2^(-'⚙ Parámetros'!F17*(N8-'⚙ Parámetros'!E17))),1)+25/100*MAX('⚙ Parámetros'!D17/(1+2^(-'⚙ Parámetros'!C17*(O8-'⚙ Parámetros'!B17))),'⚙ Parámetros'!G17/(1+2^(-'⚙ Parámetros'!F17*(O8-'⚙ Parámetros'!E17))),1)+25/100*MAX('⚙ Parámetros'!D17/(1+2^(-'⚙ Parámetros'!C17*(P8-'⚙ Parámetros'!B17))),'⚙ Parámetros'!G17/(1+2^(-'⚙ Parámetros'!F17*(P8-'⚙ Parámetros'!E17))),1)+20/100*MAX('⚙ Parámetros'!D17/(1+2^(-'⚙ Parámetros'!C17*(Q8-'⚙ Parámetros'!B17))),'⚙ Parámetros'!G17/(1+2^(-'⚙ Parámetros'!F17*(Q8-'⚙ Parámetros'!E17))),1)),0)</f>
        <v>5.9523809523809534</v>
      </c>
      <c r="AE8" s="89">
        <f>IFERROR((30/100*MAX('⚙ Parámetros'!D18/(1+2^(-'⚙ Parámetros'!C18*(R8-'⚙ Parámetros'!B18))),'⚙ Parámetros'!G18/(1+2^(-'⚙ Parámetros'!F18*(R8-'⚙ Parámetros'!E18))),1)*R8+30/100*MAX('⚙ Parámetros'!D18/(1+2^(-'⚙ Parámetros'!C18*(S8-'⚙ Parámetros'!B18))),'⚙ Parámetros'!G18/(1+2^(-'⚙ Parámetros'!F18*(S8-'⚙ Parámetros'!E18))),1)*S8+20/100*MAX('⚙ Parámetros'!D18/(1+2^(-'⚙ Parámetros'!C18*(T8-'⚙ Parámetros'!B18))),'⚙ Parámetros'!G18/(1+2^(-'⚙ Parámetros'!F18*(T8-'⚙ Parámetros'!E18))),1)*T8+20/100*MAX('⚙ Parámetros'!D18/(1+2^(-'⚙ Parámetros'!C18*(U8-'⚙ Parámetros'!B18))),'⚙ Parámetros'!G18/(1+2^(-'⚙ Parámetros'!F18*(U8-'⚙ Parámetros'!E18))),1)*U8)/(30/100*MAX('⚙ Parámetros'!D18/(1+2^(-'⚙ Parámetros'!C18*(R8-'⚙ Parámetros'!B18))),'⚙ Parámetros'!G18/(1+2^(-'⚙ Parámetros'!F18*(R8-'⚙ Parámetros'!E18))),1)+30/100*MAX('⚙ Parámetros'!D18/(1+2^(-'⚙ Parámetros'!C18*(S8-'⚙ Parámetros'!B18))),'⚙ Parámetros'!G18/(1+2^(-'⚙ Parámetros'!F18*(S8-'⚙ Parámetros'!E18))),1)+20/100*MAX('⚙ Parámetros'!D18/(1+2^(-'⚙ Parámetros'!C18*(T8-'⚙ Parámetros'!B18))),'⚙ Parámetros'!G18/(1+2^(-'⚙ Parámetros'!F18*(T8-'⚙ Parámetros'!E18))),1)+20/100*MAX('⚙ Parámetros'!D18/(1+2^(-'⚙ Parámetros'!C18*(U8-'⚙ Parámetros'!B18))),'⚙ Parámetros'!G18/(1+2^(-'⚙ Parámetros'!F18*(U8-'⚙ Parámetros'!E18))),1)),0)</f>
        <v>5.9130434782608692</v>
      </c>
      <c r="AF8" s="89">
        <f>IFERROR((30/100*MAX('⚙ Parámetros'!D19/(1+2^(-'⚙ Parámetros'!C19*(V8-'⚙ Parámetros'!B19))),'⚙ Parámetros'!G19/(1+2^(-'⚙ Parámetros'!F19*(V8-'⚙ Parámetros'!E19))),1)*V8+35/100*MAX('⚙ Parámetros'!D19/(1+2^(-'⚙ Parámetros'!C19*(W8-'⚙ Parámetros'!B19))),'⚙ Parámetros'!G19/(1+2^(-'⚙ Parámetros'!F19*(W8-'⚙ Parámetros'!E19))),1)*W8+35/100*MAX('⚙ Parámetros'!D19/(1+2^(-'⚙ Parámetros'!C19*(X8-'⚙ Parámetros'!B19))),'⚙ Parámetros'!G19/(1+2^(-'⚙ Parámetros'!F19*(X8-'⚙ Parámetros'!E19))),1)*X8)/(30/100*MAX('⚙ Parámetros'!D19/(1+2^(-'⚙ Parámetros'!C19*(V8-'⚙ Parámetros'!B19))),'⚙ Parámetros'!G19/(1+2^(-'⚙ Parámetros'!F19*(V8-'⚙ Parámetros'!E19))),1)+35/100*MAX('⚙ Parámetros'!D19/(1+2^(-'⚙ Parámetros'!C19*(W8-'⚙ Parámetros'!B19))),'⚙ Parámetros'!G19/(1+2^(-'⚙ Parámetros'!F19*(W8-'⚙ Parámetros'!E19))),1)+35/100*MAX('⚙ Parámetros'!D19/(1+2^(-'⚙ Parámetros'!C19*(X8-'⚙ Parámetros'!B19))),'⚙ Parámetros'!G19/(1+2^(-'⚙ Parámetros'!F19*(X8-'⚙ Parámetros'!E19))),1)),0)</f>
        <v>8.0351483057098907</v>
      </c>
      <c r="AG8" s="89">
        <f>IFERROR((35/100*MAX('⚙ Parámetros'!D20/(1+2^(-'⚙ Parámetros'!C20*(Y8-'⚙ Parámetros'!B20))),'⚙ Parámetros'!G20/(1+2^(-'⚙ Parámetros'!F20*(Y8-'⚙ Parámetros'!E20))),1)*Y8+35/100*MAX('⚙ Parámetros'!D20/(1+2^(-'⚙ Parámetros'!C20*(Z8-'⚙ Parámetros'!B20))),'⚙ Parámetros'!G20/(1+2^(-'⚙ Parámetros'!F20*(Z8-'⚙ Parámetros'!E20))),1)*Z8+30/100*MAX('⚙ Parámetros'!D20/(1+2^(-'⚙ Parámetros'!C20*(AA8-'⚙ Parámetros'!B20))),'⚙ Parámetros'!G20/(1+2^(-'⚙ Parámetros'!F20*(AA8-'⚙ Parámetros'!E20))),1)*AA8)/(35/100*MAX('⚙ Parámetros'!D20/(1+2^(-'⚙ Parámetros'!C20*(Y8-'⚙ Parámetros'!B20))),'⚙ Parámetros'!G20/(1+2^(-'⚙ Parámetros'!F20*(Y8-'⚙ Parámetros'!E20))),1)+35/100*MAX('⚙ Parámetros'!D20/(1+2^(-'⚙ Parámetros'!C20*(Z8-'⚙ Parámetros'!B20))),'⚙ Parámetros'!G20/(1+2^(-'⚙ Parámetros'!F20*(Z8-'⚙ Parámetros'!E20))),1)+30/100*MAX('⚙ Parámetros'!D20/(1+2^(-'⚙ Parámetros'!C20*(AA8-'⚙ Parámetros'!B20))),'⚙ Parámetros'!G20/(1+2^(-'⚙ Parámetros'!F20*(AA8-'⚙ Parámetros'!E20))),1)),0)</f>
        <v>3.7272727272727275</v>
      </c>
      <c r="AH8" s="90">
        <f>('⚙ Parámetros'!B5/100*AB8+'⚙ Parámetros'!B6/100*AC8+'⚙ Parámetros'!B7/100*AD8+'⚙ Parámetros'!B8/100*AE8+'⚙ Parámetros'!B9/100*AF8+'⚙ Parámetros'!B10/100*AG8)</f>
        <v>6.401230756926231</v>
      </c>
      <c r="AI8" s="91">
        <f ca="1">MIN(1+MAX(0,TODAY()-DATE(2026,1,14))/365*'⚙ Parámetros'!B33,'⚙ Parámetros'!B34)</f>
        <v>1.0612328767123287</v>
      </c>
      <c r="AJ8" s="82">
        <f t="shared" ca="1" si="0"/>
        <v>6.7931965306722617</v>
      </c>
      <c r="AK8" s="92" t="str">
        <f ca="1">IF(AB8&gt;='⚙ Parámetros'!B23,"⚑ AUTO-PRIOR.(D1≥8)",IF(AJ8&gt;='⚙ Parámetros'!B23,"PRIORITARIO",IF(AJ8&gt;='⚙ Parámetros'!B24,"ALTA PRIORIDAD",IF(AJ8&gt;='⚙ Parámetros'!B25,"PRIORIDAD MEDIA",IF(AJ8&gt;='⚙ Parámetros'!B26,"BAJA PRIORIDAD","DESCARTAR")))))</f>
        <v>PRIORIDAD MEDIA</v>
      </c>
      <c r="AL8" s="29" t="str">
        <f t="shared" si="1"/>
        <v>SÍ ⚑</v>
      </c>
      <c r="AM8" s="85">
        <v>100</v>
      </c>
      <c r="AN8" s="83" t="str">
        <f>IF(AM8="","—",IF(AM8&lt;'⚙ Parámetros'!B29,"🟢 Corto",IF(AM8&lt;'⚙ Parámetros'!B30,"🟡 Medio","🔴 Largo")))</f>
        <v>🔴 Largo</v>
      </c>
    </row>
    <row r="9" spans="1:40" ht="18.75" customHeight="1" x14ac:dyDescent="0.25">
      <c r="A9" s="69">
        <v>5</v>
      </c>
      <c r="B9" s="70" t="s">
        <v>144</v>
      </c>
      <c r="C9" s="4" t="s">
        <v>135</v>
      </c>
      <c r="D9" s="71" t="s">
        <v>136</v>
      </c>
      <c r="E9" s="72" t="s">
        <v>145</v>
      </c>
      <c r="F9" s="74">
        <v>8</v>
      </c>
      <c r="G9" s="74">
        <v>1</v>
      </c>
      <c r="H9" s="73">
        <v>5</v>
      </c>
      <c r="I9" s="74">
        <v>8</v>
      </c>
      <c r="J9" s="73">
        <v>7</v>
      </c>
      <c r="K9" s="74">
        <v>1</v>
      </c>
      <c r="L9" s="75">
        <v>8</v>
      </c>
      <c r="M9" s="73">
        <v>3</v>
      </c>
      <c r="N9" s="73">
        <v>7</v>
      </c>
      <c r="O9" s="74">
        <v>1</v>
      </c>
      <c r="P9" s="73">
        <v>7</v>
      </c>
      <c r="Q9" s="87">
        <v>8</v>
      </c>
      <c r="R9" s="73">
        <v>5</v>
      </c>
      <c r="S9" s="73">
        <v>5</v>
      </c>
      <c r="T9" s="73">
        <v>5</v>
      </c>
      <c r="U9" s="73">
        <v>5</v>
      </c>
      <c r="V9" s="73">
        <v>5</v>
      </c>
      <c r="W9" s="73">
        <v>6</v>
      </c>
      <c r="X9" s="73">
        <v>3</v>
      </c>
      <c r="Y9" s="73">
        <v>4</v>
      </c>
      <c r="Z9" s="74">
        <v>2</v>
      </c>
      <c r="AA9" s="88">
        <v>8</v>
      </c>
      <c r="AB9" s="80">
        <f>IFERROR((30/100*MAX('⚙ Parámetros'!D15/(1+2^(-'⚙ Parámetros'!C15*(F9-'⚙ Parámetros'!B15))),'⚙ Parámetros'!G15/(1+2^(-'⚙ Parámetros'!F15*(F9-'⚙ Parámetros'!E15))),1)*F9+30/100*MAX('⚙ Parámetros'!D15/(1+2^(-'⚙ Parámetros'!C15*(G9-'⚙ Parámetros'!B15))),'⚙ Parámetros'!G15/(1+2^(-'⚙ Parámetros'!F15*(G9-'⚙ Parámetros'!E15))),1)*G9+20/100*MAX('⚙ Parámetros'!D15/(1+2^(-'⚙ Parámetros'!C15*(H9-'⚙ Parámetros'!B15))),'⚙ Parámetros'!G15/(1+2^(-'⚙ Parámetros'!F15*(H9-'⚙ Parámetros'!E15))),1)*H9+20/100*MAX('⚙ Parámetros'!D15/(1+2^(-'⚙ Parámetros'!C15*(I9-'⚙ Parámetros'!B15))),'⚙ Parámetros'!G15/(1+2^(-'⚙ Parámetros'!F15*(I9-'⚙ Parámetros'!E15))),1)*I9)/(30/100*MAX('⚙ Parámetros'!D15/(1+2^(-'⚙ Parámetros'!C15*(F9-'⚙ Parámetros'!B15))),'⚙ Parámetros'!G15/(1+2^(-'⚙ Parámetros'!F15*(F9-'⚙ Parámetros'!E15))),1)+30/100*MAX('⚙ Parámetros'!D15/(1+2^(-'⚙ Parámetros'!C15*(G9-'⚙ Parámetros'!B15))),'⚙ Parámetros'!G15/(1+2^(-'⚙ Parámetros'!F15*(G9-'⚙ Parámetros'!E15))),1)+20/100*MAX('⚙ Parámetros'!D15/(1+2^(-'⚙ Parámetros'!C15*(H9-'⚙ Parámetros'!B15))),'⚙ Parámetros'!G15/(1+2^(-'⚙ Parámetros'!F15*(H9-'⚙ Parámetros'!E15))),1)+20/100*MAX('⚙ Parámetros'!D15/(1+2^(-'⚙ Parámetros'!C15*(I9-'⚙ Parámetros'!B15))),'⚙ Parámetros'!G15/(1+2^(-'⚙ Parámetros'!F15*(I9-'⚙ Parámetros'!E15))),1)),0)</f>
        <v>7.2748815165876772</v>
      </c>
      <c r="AC9" s="80">
        <f>IFERROR((35/100*MAX('⚙ Parámetros'!D16/(1+2^(-'⚙ Parámetros'!C16*(J9-'⚙ Parámetros'!B16))),'⚙ Parámetros'!G16/(1+2^(-'⚙ Parámetros'!F16*(J9-'⚙ Parámetros'!E16))),1)*J9+25/100*MAX('⚙ Parámetros'!D16/(1+2^(-'⚙ Parámetros'!C16*(K9-'⚙ Parámetros'!B16))),'⚙ Parámetros'!G16/(1+2^(-'⚙ Parámetros'!F16*(K9-'⚙ Parámetros'!E16))),1)*K9+20/100*MAX('⚙ Parámetros'!D16/(1+2^(-'⚙ Parámetros'!C16*(L9-'⚙ Parámetros'!B16))),'⚙ Parámetros'!G16/(1+2^(-'⚙ Parámetros'!F16*(L9-'⚙ Parámetros'!E16))),1)*L9+20/100*MAX('⚙ Parámetros'!D16/(1+2^(-'⚙ Parámetros'!C16*(M9-'⚙ Parámetros'!B16))),'⚙ Parámetros'!G16/(1+2^(-'⚙ Parámetros'!F16*(M9-'⚙ Parámetros'!E16))),1)*M9)/(35/100*MAX('⚙ Parámetros'!D16/(1+2^(-'⚙ Parámetros'!C16*(J9-'⚙ Parámetros'!B16))),'⚙ Parámetros'!G16/(1+2^(-'⚙ Parámetros'!F16*(J9-'⚙ Parámetros'!E16))),1)+25/100*MAX('⚙ Parámetros'!D16/(1+2^(-'⚙ Parámetros'!C16*(K9-'⚙ Parámetros'!B16))),'⚙ Parámetros'!G16/(1+2^(-'⚙ Parámetros'!F16*(K9-'⚙ Parámetros'!E16))),1)+20/100*MAX('⚙ Parámetros'!D16/(1+2^(-'⚙ Parámetros'!C16*(L9-'⚙ Parámetros'!B16))),'⚙ Parámetros'!G16/(1+2^(-'⚙ Parámetros'!F16*(L9-'⚙ Parámetros'!E16))),1)+20/100*MAX('⚙ Parámetros'!D16/(1+2^(-'⚙ Parámetros'!C16*(M9-'⚙ Parámetros'!B16))),'⚙ Parámetros'!G16/(1+2^(-'⚙ Parámetros'!F16*(M9-'⚙ Parámetros'!E16))),1)),0)</f>
        <v>6.3868613138686126</v>
      </c>
      <c r="AD9" s="80">
        <f>IFERROR((30/100*MAX('⚙ Parámetros'!D17/(1+2^(-'⚙ Parámetros'!C17*(N9-'⚙ Parámetros'!B17))),'⚙ Parámetros'!G17/(1+2^(-'⚙ Parámetros'!F17*(N9-'⚙ Parámetros'!E17))),1)*N9+25/100*MAX('⚙ Parámetros'!D17/(1+2^(-'⚙ Parámetros'!C17*(O9-'⚙ Parámetros'!B17))),'⚙ Parámetros'!G17/(1+2^(-'⚙ Parámetros'!F17*(O9-'⚙ Parámetros'!E17))),1)*O9+25/100*MAX('⚙ Parámetros'!D17/(1+2^(-'⚙ Parámetros'!C17*(P9-'⚙ Parámetros'!B17))),'⚙ Parámetros'!G17/(1+2^(-'⚙ Parámetros'!F17*(P9-'⚙ Parámetros'!E17))),1)*P9+20/100*MAX('⚙ Parámetros'!D17/(1+2^(-'⚙ Parámetros'!C17*(Q9-'⚙ Parámetros'!B17))),'⚙ Parámetros'!G17/(1+2^(-'⚙ Parámetros'!F17*(Q9-'⚙ Parámetros'!E17))),1)*Q9)/(30/100*MAX('⚙ Parámetros'!D17/(1+2^(-'⚙ Parámetros'!C17*(N9-'⚙ Parámetros'!B17))),'⚙ Parámetros'!G17/(1+2^(-'⚙ Parámetros'!F17*(N9-'⚙ Parámetros'!E17))),1)+25/100*MAX('⚙ Parámetros'!D17/(1+2^(-'⚙ Parámetros'!C17*(O9-'⚙ Parámetros'!B17))),'⚙ Parámetros'!G17/(1+2^(-'⚙ Parámetros'!F17*(O9-'⚙ Parámetros'!E17))),1)+25/100*MAX('⚙ Parámetros'!D17/(1+2^(-'⚙ Parámetros'!C17*(P9-'⚙ Parámetros'!B17))),'⚙ Parámetros'!G17/(1+2^(-'⚙ Parámetros'!F17*(P9-'⚙ Parámetros'!E17))),1)+20/100*MAX('⚙ Parámetros'!D17/(1+2^(-'⚙ Parámetros'!C17*(Q9-'⚙ Parámetros'!B17))),'⚙ Parámetros'!G17/(1+2^(-'⚙ Parámetros'!F17*(Q9-'⚙ Parámetros'!E17))),1)),0)</f>
        <v>6.7218543046357606</v>
      </c>
      <c r="AE9" s="80">
        <f>IFERROR((30/100*MAX('⚙ Parámetros'!D18/(1+2^(-'⚙ Parámetros'!C18*(R9-'⚙ Parámetros'!B18))),'⚙ Parámetros'!G18/(1+2^(-'⚙ Parámetros'!F18*(R9-'⚙ Parámetros'!E18))),1)*R9+30/100*MAX('⚙ Parámetros'!D18/(1+2^(-'⚙ Parámetros'!C18*(S9-'⚙ Parámetros'!B18))),'⚙ Parámetros'!G18/(1+2^(-'⚙ Parámetros'!F18*(S9-'⚙ Parámetros'!E18))),1)*S9+20/100*MAX('⚙ Parámetros'!D18/(1+2^(-'⚙ Parámetros'!C18*(T9-'⚙ Parámetros'!B18))),'⚙ Parámetros'!G18/(1+2^(-'⚙ Parámetros'!F18*(T9-'⚙ Parámetros'!E18))),1)*T9+20/100*MAX('⚙ Parámetros'!D18/(1+2^(-'⚙ Parámetros'!C18*(U9-'⚙ Parámetros'!B18))),'⚙ Parámetros'!G18/(1+2^(-'⚙ Parámetros'!F18*(U9-'⚙ Parámetros'!E18))),1)*U9)/(30/100*MAX('⚙ Parámetros'!D18/(1+2^(-'⚙ Parámetros'!C18*(R9-'⚙ Parámetros'!B18))),'⚙ Parámetros'!G18/(1+2^(-'⚙ Parámetros'!F18*(R9-'⚙ Parámetros'!E18))),1)+30/100*MAX('⚙ Parámetros'!D18/(1+2^(-'⚙ Parámetros'!C18*(S9-'⚙ Parámetros'!B18))),'⚙ Parámetros'!G18/(1+2^(-'⚙ Parámetros'!F18*(S9-'⚙ Parámetros'!E18))),1)+20/100*MAX('⚙ Parámetros'!D18/(1+2^(-'⚙ Parámetros'!C18*(T9-'⚙ Parámetros'!B18))),'⚙ Parámetros'!G18/(1+2^(-'⚙ Parámetros'!F18*(T9-'⚙ Parámetros'!E18))),1)+20/100*MAX('⚙ Parámetros'!D18/(1+2^(-'⚙ Parámetros'!C18*(U9-'⚙ Parámetros'!B18))),'⚙ Parámetros'!G18/(1+2^(-'⚙ Parámetros'!F18*(U9-'⚙ Parámetros'!E18))),1)),0)</f>
        <v>5</v>
      </c>
      <c r="AF9" s="80">
        <f>IFERROR((30/100*MAX('⚙ Parámetros'!D19/(1+2^(-'⚙ Parámetros'!C19*(V9-'⚙ Parámetros'!B19))),'⚙ Parámetros'!G19/(1+2^(-'⚙ Parámetros'!F19*(V9-'⚙ Parámetros'!E19))),1)*V9+35/100*MAX('⚙ Parámetros'!D19/(1+2^(-'⚙ Parámetros'!C19*(W9-'⚙ Parámetros'!B19))),'⚙ Parámetros'!G19/(1+2^(-'⚙ Parámetros'!F19*(W9-'⚙ Parámetros'!E19))),1)*W9+35/100*MAX('⚙ Parámetros'!D19/(1+2^(-'⚙ Parámetros'!C19*(X9-'⚙ Parámetros'!B19))),'⚙ Parámetros'!G19/(1+2^(-'⚙ Parámetros'!F19*(X9-'⚙ Parámetros'!E19))),1)*X9)/(30/100*MAX('⚙ Parámetros'!D19/(1+2^(-'⚙ Parámetros'!C19*(V9-'⚙ Parámetros'!B19))),'⚙ Parámetros'!G19/(1+2^(-'⚙ Parámetros'!F19*(V9-'⚙ Parámetros'!E19))),1)+35/100*MAX('⚙ Parámetros'!D19/(1+2^(-'⚙ Parámetros'!C19*(W9-'⚙ Parámetros'!B19))),'⚙ Parámetros'!G19/(1+2^(-'⚙ Parámetros'!F19*(W9-'⚙ Parámetros'!E19))),1)+35/100*MAX('⚙ Parámetros'!D19/(1+2^(-'⚙ Parámetros'!C19*(X9-'⚙ Parámetros'!B19))),'⚙ Parámetros'!G19/(1+2^(-'⚙ Parámetros'!F19*(X9-'⚙ Parámetros'!E19))),1)),0)</f>
        <v>5.0782122905027931</v>
      </c>
      <c r="AG9" s="80">
        <f>IFERROR((35/100*MAX('⚙ Parámetros'!D20/(1+2^(-'⚙ Parámetros'!C20*(Y9-'⚙ Parámetros'!B20))),'⚙ Parámetros'!G20/(1+2^(-'⚙ Parámetros'!F20*(Y9-'⚙ Parámetros'!E20))),1)*Y9+35/100*MAX('⚙ Parámetros'!D20/(1+2^(-'⚙ Parámetros'!C20*(Z9-'⚙ Parámetros'!B20))),'⚙ Parámetros'!G20/(1+2^(-'⚙ Parámetros'!F20*(Z9-'⚙ Parámetros'!E20))),1)*Z9+30/100*MAX('⚙ Parámetros'!D20/(1+2^(-'⚙ Parámetros'!C20*(AA9-'⚙ Parámetros'!B20))),'⚙ Parámetros'!G20/(1+2^(-'⚙ Parámetros'!F20*(AA9-'⚙ Parámetros'!E20))),1)*AA9)/(35/100*MAX('⚙ Parámetros'!D20/(1+2^(-'⚙ Parámetros'!C20*(Y9-'⚙ Parámetros'!B20))),'⚙ Parámetros'!G20/(1+2^(-'⚙ Parámetros'!F20*(Y9-'⚙ Parámetros'!E20))),1)+35/100*MAX('⚙ Parámetros'!D20/(1+2^(-'⚙ Parámetros'!C20*(Z9-'⚙ Parámetros'!B20))),'⚙ Parámetros'!G20/(1+2^(-'⚙ Parámetros'!F20*(Z9-'⚙ Parámetros'!E20))),1)+30/100*MAX('⚙ Parámetros'!D20/(1+2^(-'⚙ Parámetros'!C20*(AA9-'⚙ Parámetros'!B20))),'⚙ Parámetros'!G20/(1+2^(-'⚙ Parámetros'!F20*(AA9-'⚙ Parámetros'!E20))),1)),0)</f>
        <v>5.8125</v>
      </c>
      <c r="AH9" s="81">
        <f>('⚙ Parámetros'!B5/100*AB9+'⚙ Parámetros'!B6/100*AC9+'⚙ Parámetros'!B7/100*AD9+'⚙ Parámetros'!B8/100*AE9+'⚙ Parámetros'!B9/100*AF9+'⚙ Parámetros'!B10/100*AG9)</f>
        <v>6.3770288077274566</v>
      </c>
      <c r="AI9" s="33">
        <f ca="1">MIN(1+MAX(0,TODAY()-DATE(2025,6,30))/365*'⚙ Parámetros'!B33,'⚙ Parámetros'!B34)</f>
        <v>1.1426027397260274</v>
      </c>
      <c r="AJ9" s="82">
        <f t="shared" ca="1" si="0"/>
        <v>7.2864105870211944</v>
      </c>
      <c r="AK9" s="83" t="str">
        <f ca="1">IF(AB9&gt;='⚙ Parámetros'!B23,"⚑ AUTO-PRIOR.(D1≥8)",IF(AJ9&gt;='⚙ Parámetros'!B23,"PRIORITARIO",IF(AJ9&gt;='⚙ Parámetros'!B24,"ALTA PRIORIDAD",IF(AJ9&gt;='⚙ Parámetros'!B25,"PRIORIDAD MEDIA",IF(AJ9&gt;='⚙ Parámetros'!B26,"BAJA PRIORIDAD","DESCARTAR")))))</f>
        <v>ALTA PRIORIDAD</v>
      </c>
      <c r="AL9" s="84" t="str">
        <f t="shared" si="1"/>
        <v>—</v>
      </c>
      <c r="AM9" s="85">
        <v>25</v>
      </c>
      <c r="AN9" s="83" t="str">
        <f>IF(AM9="","—",IF(AM9&lt;'⚙ Parámetros'!B29,"🟢 Corto",IF(AM9&lt;'⚙ Parámetros'!B30,"🟡 Medio","🔴 Largo")))</f>
        <v>🟢 Corto</v>
      </c>
    </row>
    <row r="10" spans="1:40" ht="18.75" customHeight="1" x14ac:dyDescent="0.25">
      <c r="A10" s="69">
        <v>6</v>
      </c>
      <c r="B10" s="30" t="s">
        <v>146</v>
      </c>
      <c r="C10" s="26" t="s">
        <v>147</v>
      </c>
      <c r="D10" s="71" t="s">
        <v>136</v>
      </c>
      <c r="E10" s="72" t="s">
        <v>148</v>
      </c>
      <c r="F10" s="86">
        <v>5</v>
      </c>
      <c r="G10" s="74">
        <v>1</v>
      </c>
      <c r="H10" s="86">
        <v>5</v>
      </c>
      <c r="I10" s="74">
        <v>1</v>
      </c>
      <c r="J10" s="75">
        <v>10</v>
      </c>
      <c r="K10" s="75">
        <v>9</v>
      </c>
      <c r="L10" s="75">
        <v>8</v>
      </c>
      <c r="M10" s="75">
        <v>9</v>
      </c>
      <c r="N10" s="87">
        <v>8</v>
      </c>
      <c r="O10" s="87">
        <v>8</v>
      </c>
      <c r="P10" s="86">
        <v>7</v>
      </c>
      <c r="Q10" s="86">
        <v>6</v>
      </c>
      <c r="R10" s="76">
        <v>9</v>
      </c>
      <c r="S10" s="76">
        <v>9</v>
      </c>
      <c r="T10" s="86">
        <v>5</v>
      </c>
      <c r="U10" s="86">
        <v>5</v>
      </c>
      <c r="V10" s="86">
        <v>7</v>
      </c>
      <c r="W10" s="86">
        <v>6</v>
      </c>
      <c r="X10" s="86">
        <v>5</v>
      </c>
      <c r="Y10" s="86">
        <v>5</v>
      </c>
      <c r="Z10" s="74">
        <v>2</v>
      </c>
      <c r="AA10" s="93">
        <v>5</v>
      </c>
      <c r="AB10" s="89">
        <f>IFERROR((30/100*MAX('⚙ Parámetros'!D15/(1+2^(-'⚙ Parámetros'!C15*(F10-'⚙ Parámetros'!B15))),'⚙ Parámetros'!G15/(1+2^(-'⚙ Parámetros'!F15*(F10-'⚙ Parámetros'!E15))),1)*F10+30/100*MAX('⚙ Parámetros'!D15/(1+2^(-'⚙ Parámetros'!C15*(G10-'⚙ Parámetros'!B15))),'⚙ Parámetros'!G15/(1+2^(-'⚙ Parámetros'!F15*(G10-'⚙ Parámetros'!E15))),1)*G10+20/100*MAX('⚙ Parámetros'!D15/(1+2^(-'⚙ Parámetros'!C15*(H10-'⚙ Parámetros'!B15))),'⚙ Parámetros'!G15/(1+2^(-'⚙ Parámetros'!F15*(H10-'⚙ Parámetros'!E15))),1)*H10+20/100*MAX('⚙ Parámetros'!D15/(1+2^(-'⚙ Parámetros'!C15*(I10-'⚙ Parámetros'!B15))),'⚙ Parámetros'!G15/(1+2^(-'⚙ Parámetros'!F15*(I10-'⚙ Parámetros'!E15))),1)*I10)/(30/100*MAX('⚙ Parámetros'!D15/(1+2^(-'⚙ Parámetros'!C15*(F10-'⚙ Parámetros'!B15))),'⚙ Parámetros'!G15/(1+2^(-'⚙ Parámetros'!F15*(F10-'⚙ Parámetros'!E15))),1)+30/100*MAX('⚙ Parámetros'!D15/(1+2^(-'⚙ Parámetros'!C15*(G10-'⚙ Parámetros'!B15))),'⚙ Parámetros'!G15/(1+2^(-'⚙ Parámetros'!F15*(G10-'⚙ Parámetros'!E15))),1)+20/100*MAX('⚙ Parámetros'!D15/(1+2^(-'⚙ Parámetros'!C15*(H10-'⚙ Parámetros'!B15))),'⚙ Parámetros'!G15/(1+2^(-'⚙ Parámetros'!F15*(H10-'⚙ Parámetros'!E15))),1)+20/100*MAX('⚙ Parámetros'!D15/(1+2^(-'⚙ Parámetros'!C15*(I10-'⚙ Parámetros'!B15))),'⚙ Parámetros'!G15/(1+2^(-'⚙ Parámetros'!F15*(I10-'⚙ Parámetros'!E15))),1)),0)</f>
        <v>3.4615384615384612</v>
      </c>
      <c r="AC10" s="89">
        <f>IFERROR((35/100*MAX('⚙ Parámetros'!D16/(1+2^(-'⚙ Parámetros'!C16*(J10-'⚙ Parámetros'!B16))),'⚙ Parámetros'!G16/(1+2^(-'⚙ Parámetros'!F16*(J10-'⚙ Parámetros'!E16))),1)*J10+25/100*MAX('⚙ Parámetros'!D16/(1+2^(-'⚙ Parámetros'!C16*(K10-'⚙ Parámetros'!B16))),'⚙ Parámetros'!G16/(1+2^(-'⚙ Parámetros'!F16*(K10-'⚙ Parámetros'!E16))),1)*K10+20/100*MAX('⚙ Parámetros'!D16/(1+2^(-'⚙ Parámetros'!C16*(L10-'⚙ Parámetros'!B16))),'⚙ Parámetros'!G16/(1+2^(-'⚙ Parámetros'!F16*(L10-'⚙ Parámetros'!E16))),1)*L10+20/100*MAX('⚙ Parámetros'!D16/(1+2^(-'⚙ Parámetros'!C16*(M10-'⚙ Parámetros'!B16))),'⚙ Parámetros'!G16/(1+2^(-'⚙ Parámetros'!F16*(M10-'⚙ Parámetros'!E16))),1)*M10)/(35/100*MAX('⚙ Parámetros'!D16/(1+2^(-'⚙ Parámetros'!C16*(J10-'⚙ Parámetros'!B16))),'⚙ Parámetros'!G16/(1+2^(-'⚙ Parámetros'!F16*(J10-'⚙ Parámetros'!E16))),1)+25/100*MAX('⚙ Parámetros'!D16/(1+2^(-'⚙ Parámetros'!C16*(K10-'⚙ Parámetros'!B16))),'⚙ Parámetros'!G16/(1+2^(-'⚙ Parámetros'!F16*(K10-'⚙ Parámetros'!E16))),1)+20/100*MAX('⚙ Parámetros'!D16/(1+2^(-'⚙ Parámetros'!C16*(L10-'⚙ Parámetros'!B16))),'⚙ Parámetros'!G16/(1+2^(-'⚙ Parámetros'!F16*(L10-'⚙ Parámetros'!E16))),1)+20/100*MAX('⚙ Parámetros'!D16/(1+2^(-'⚙ Parámetros'!C16*(M10-'⚙ Parámetros'!B16))),'⚙ Parámetros'!G16/(1+2^(-'⚙ Parámetros'!F16*(M10-'⚙ Parámetros'!E16))),1)),0)</f>
        <v>9.2906110283159453</v>
      </c>
      <c r="AD10" s="89">
        <f>IFERROR((30/100*MAX('⚙ Parámetros'!D17/(1+2^(-'⚙ Parámetros'!C17*(N10-'⚙ Parámetros'!B17))),'⚙ Parámetros'!G17/(1+2^(-'⚙ Parámetros'!F17*(N10-'⚙ Parámetros'!E17))),1)*N10+25/100*MAX('⚙ Parámetros'!D17/(1+2^(-'⚙ Parámetros'!C17*(O10-'⚙ Parámetros'!B17))),'⚙ Parámetros'!G17/(1+2^(-'⚙ Parámetros'!F17*(O10-'⚙ Parámetros'!E17))),1)*O10+25/100*MAX('⚙ Parámetros'!D17/(1+2^(-'⚙ Parámetros'!C17*(P10-'⚙ Parámetros'!B17))),'⚙ Parámetros'!G17/(1+2^(-'⚙ Parámetros'!F17*(P10-'⚙ Parámetros'!E17))),1)*P10+20/100*MAX('⚙ Parámetros'!D17/(1+2^(-'⚙ Parámetros'!C17*(Q10-'⚙ Parámetros'!B17))),'⚙ Parámetros'!G17/(1+2^(-'⚙ Parámetros'!F17*(Q10-'⚙ Parámetros'!E17))),1)*Q10)/(30/100*MAX('⚙ Parámetros'!D17/(1+2^(-'⚙ Parámetros'!C17*(N10-'⚙ Parámetros'!B17))),'⚙ Parámetros'!G17/(1+2^(-'⚙ Parámetros'!F17*(N10-'⚙ Parámetros'!E17))),1)+25/100*MAX('⚙ Parámetros'!D17/(1+2^(-'⚙ Parámetros'!C17*(O10-'⚙ Parámetros'!B17))),'⚙ Parámetros'!G17/(1+2^(-'⚙ Parámetros'!F17*(O10-'⚙ Parámetros'!E17))),1)+25/100*MAX('⚙ Parámetros'!D17/(1+2^(-'⚙ Parámetros'!C17*(P10-'⚙ Parámetros'!B17))),'⚙ Parámetros'!G17/(1+2^(-'⚙ Parámetros'!F17*(P10-'⚙ Parámetros'!E17))),1)+20/100*MAX('⚙ Parámetros'!D17/(1+2^(-'⚙ Parámetros'!C17*(Q10-'⚙ Parámetros'!B17))),'⚙ Parámetros'!G17/(1+2^(-'⚙ Parámetros'!F17*(Q10-'⚙ Parámetros'!E17))),1)),0)</f>
        <v>7.5139442231075693</v>
      </c>
      <c r="AE10" s="89">
        <f>IFERROR((30/100*MAX('⚙ Parámetros'!D18/(1+2^(-'⚙ Parámetros'!C18*(R10-'⚙ Parámetros'!B18))),'⚙ Parámetros'!G18/(1+2^(-'⚙ Parámetros'!F18*(R10-'⚙ Parámetros'!E18))),1)*R10+30/100*MAX('⚙ Parámetros'!D18/(1+2^(-'⚙ Parámetros'!C18*(S10-'⚙ Parámetros'!B18))),'⚙ Parámetros'!G18/(1+2^(-'⚙ Parámetros'!F18*(S10-'⚙ Parámetros'!E18))),1)*S10+20/100*MAX('⚙ Parámetros'!D18/(1+2^(-'⚙ Parámetros'!C18*(T10-'⚙ Parámetros'!B18))),'⚙ Parámetros'!G18/(1+2^(-'⚙ Parámetros'!F18*(T10-'⚙ Parámetros'!E18))),1)*T10+20/100*MAX('⚙ Parámetros'!D18/(1+2^(-'⚙ Parámetros'!C18*(U10-'⚙ Parámetros'!B18))),'⚙ Parámetros'!G18/(1+2^(-'⚙ Parámetros'!F18*(U10-'⚙ Parámetros'!E18))),1)*U10)/(30/100*MAX('⚙ Parámetros'!D18/(1+2^(-'⚙ Parámetros'!C18*(R10-'⚙ Parámetros'!B18))),'⚙ Parámetros'!G18/(1+2^(-'⚙ Parámetros'!F18*(R10-'⚙ Parámetros'!E18))),1)+30/100*MAX('⚙ Parámetros'!D18/(1+2^(-'⚙ Parámetros'!C18*(S10-'⚙ Parámetros'!B18))),'⚙ Parámetros'!G18/(1+2^(-'⚙ Parámetros'!F18*(S10-'⚙ Parámetros'!E18))),1)+20/100*MAX('⚙ Parámetros'!D18/(1+2^(-'⚙ Parámetros'!C18*(T10-'⚙ Parámetros'!B18))),'⚙ Parámetros'!G18/(1+2^(-'⚙ Parámetros'!F18*(T10-'⚙ Parámetros'!E18))),1)+20/100*MAX('⚙ Parámetros'!D18/(1+2^(-'⚙ Parámetros'!C18*(U10-'⚙ Parámetros'!B18))),'⚙ Parámetros'!G18/(1+2^(-'⚙ Parámetros'!F18*(U10-'⚙ Parámetros'!E18))),1)),0)</f>
        <v>8.1801060365339655</v>
      </c>
      <c r="AF10" s="89">
        <f>IFERROR((30/100*MAX('⚙ Parámetros'!D19/(1+2^(-'⚙ Parámetros'!C19*(V10-'⚙ Parámetros'!B19))),'⚙ Parámetros'!G19/(1+2^(-'⚙ Parámetros'!F19*(V10-'⚙ Parámetros'!E19))),1)*V10+35/100*MAX('⚙ Parámetros'!D19/(1+2^(-'⚙ Parámetros'!C19*(W10-'⚙ Parámetros'!B19))),'⚙ Parámetros'!G19/(1+2^(-'⚙ Parámetros'!F19*(W10-'⚙ Parámetros'!E19))),1)*W10+35/100*MAX('⚙ Parámetros'!D19/(1+2^(-'⚙ Parámetros'!C19*(X10-'⚙ Parámetros'!B19))),'⚙ Parámetros'!G19/(1+2^(-'⚙ Parámetros'!F19*(X10-'⚙ Parámetros'!E19))),1)*X10)/(30/100*MAX('⚙ Parámetros'!D19/(1+2^(-'⚙ Parámetros'!C19*(V10-'⚙ Parámetros'!B19))),'⚙ Parámetros'!G19/(1+2^(-'⚙ Parámetros'!F19*(V10-'⚙ Parámetros'!E19))),1)+35/100*MAX('⚙ Parámetros'!D19/(1+2^(-'⚙ Parámetros'!C19*(W10-'⚙ Parámetros'!B19))),'⚙ Parámetros'!G19/(1+2^(-'⚙ Parámetros'!F19*(W10-'⚙ Parámetros'!E19))),1)+35/100*MAX('⚙ Parámetros'!D19/(1+2^(-'⚙ Parámetros'!C19*(X10-'⚙ Parámetros'!B19))),'⚙ Parámetros'!G19/(1+2^(-'⚙ Parámetros'!F19*(X10-'⚙ Parámetros'!E19))),1)),0)</f>
        <v>6.0427350427350435</v>
      </c>
      <c r="AG10" s="89">
        <f>IFERROR((35/100*MAX('⚙ Parámetros'!D20/(1+2^(-'⚙ Parámetros'!C20*(Y10-'⚙ Parámetros'!B20))),'⚙ Parámetros'!G20/(1+2^(-'⚙ Parámetros'!F20*(Y10-'⚙ Parámetros'!E20))),1)*Y10+35/100*MAX('⚙ Parámetros'!D20/(1+2^(-'⚙ Parámetros'!C20*(Z10-'⚙ Parámetros'!B20))),'⚙ Parámetros'!G20/(1+2^(-'⚙ Parámetros'!F20*(Z10-'⚙ Parámetros'!E20))),1)*Z10+30/100*MAX('⚙ Parámetros'!D20/(1+2^(-'⚙ Parámetros'!C20*(AA10-'⚙ Parámetros'!B20))),'⚙ Parámetros'!G20/(1+2^(-'⚙ Parámetros'!F20*(AA10-'⚙ Parámetros'!E20))),1)*AA10)/(35/100*MAX('⚙ Parámetros'!D20/(1+2^(-'⚙ Parámetros'!C20*(Y10-'⚙ Parámetros'!B20))),'⚙ Parámetros'!G20/(1+2^(-'⚙ Parámetros'!F20*(Y10-'⚙ Parámetros'!E20))),1)+35/100*MAX('⚙ Parámetros'!D20/(1+2^(-'⚙ Parámetros'!C20*(Z10-'⚙ Parámetros'!B20))),'⚙ Parámetros'!G20/(1+2^(-'⚙ Parámetros'!F20*(Z10-'⚙ Parámetros'!E20))),1)+30/100*MAX('⚙ Parámetros'!D20/(1+2^(-'⚙ Parámetros'!C20*(AA10-'⚙ Parámetros'!B20))),'⚙ Parámetros'!G20/(1+2^(-'⚙ Parámetros'!F20*(AA10-'⚙ Parámetros'!E20))),1)),0)</f>
        <v>4.1369863013698636</v>
      </c>
      <c r="AH10" s="90">
        <f>('⚙ Parámetros'!B5/100*AB10+'⚙ Parámetros'!B6/100*AC10+'⚙ Parámetros'!B7/100*AD10+'⚙ Parámetros'!B8/100*AE10+'⚙ Parámetros'!B9/100*AF10+'⚙ Parámetros'!B10/100*AG10)</f>
        <v>6.3162177215134099</v>
      </c>
      <c r="AI10" s="91">
        <f ca="1">MIN(1+MAX(0,TODAY()-DATE(2026,3,24))/365*'⚙ Parámetros'!B33,'⚙ Parámetros'!B34)</f>
        <v>1.0328767123287672</v>
      </c>
      <c r="AJ10" s="82">
        <f t="shared" ca="1" si="0"/>
        <v>6.5238741945494674</v>
      </c>
      <c r="AK10" s="92" t="str">
        <f ca="1">IF(AB10&gt;='⚙ Parámetros'!B23,"⚑ AUTO-PRIOR.(D1≥8)",IF(AJ10&gt;='⚙ Parámetros'!B23,"PRIORITARIO",IF(AJ10&gt;='⚙ Parámetros'!B24,"ALTA PRIORIDAD",IF(AJ10&gt;='⚙ Parámetros'!B25,"PRIORIDAD MEDIA",IF(AJ10&gt;='⚙ Parámetros'!B26,"BAJA PRIORIDAD","DESCARTAR")))))</f>
        <v>PRIORIDAD MEDIA</v>
      </c>
      <c r="AL10" s="69" t="str">
        <f t="shared" si="1"/>
        <v>—</v>
      </c>
      <c r="AM10" s="85">
        <v>34</v>
      </c>
      <c r="AN10" s="83" t="str">
        <f>IF(AM10="","—",IF(AM10&lt;'⚙ Parámetros'!B29,"🟢 Corto",IF(AM10&lt;'⚙ Parámetros'!B30,"🟡 Medio","🔴 Largo")))</f>
        <v>🟡 Medio</v>
      </c>
    </row>
    <row r="11" spans="1:40" ht="18.75" customHeight="1" x14ac:dyDescent="0.25">
      <c r="A11" s="69">
        <v>7</v>
      </c>
      <c r="B11" s="70" t="s">
        <v>149</v>
      </c>
      <c r="C11" s="4" t="s">
        <v>142</v>
      </c>
      <c r="D11" s="71" t="s">
        <v>136</v>
      </c>
      <c r="E11" s="72" t="s">
        <v>150</v>
      </c>
      <c r="F11" s="74">
        <v>8</v>
      </c>
      <c r="G11" s="73">
        <v>7</v>
      </c>
      <c r="H11" s="74">
        <v>1</v>
      </c>
      <c r="I11" s="74">
        <v>8</v>
      </c>
      <c r="J11" s="74">
        <v>1</v>
      </c>
      <c r="K11" s="74">
        <v>1</v>
      </c>
      <c r="L11" s="75">
        <v>8</v>
      </c>
      <c r="M11" s="73">
        <v>3</v>
      </c>
      <c r="N11" s="74">
        <v>1</v>
      </c>
      <c r="O11" s="73">
        <v>6</v>
      </c>
      <c r="P11" s="74">
        <v>1</v>
      </c>
      <c r="Q11" s="87">
        <v>8</v>
      </c>
      <c r="R11" s="76">
        <v>9</v>
      </c>
      <c r="S11" s="76">
        <v>9</v>
      </c>
      <c r="T11" s="73">
        <v>5</v>
      </c>
      <c r="U11" s="73">
        <v>5</v>
      </c>
      <c r="V11" s="77">
        <v>8</v>
      </c>
      <c r="W11" s="73">
        <v>4</v>
      </c>
      <c r="X11" s="73">
        <v>5</v>
      </c>
      <c r="Y11" s="73">
        <v>4</v>
      </c>
      <c r="Z11" s="74">
        <v>2</v>
      </c>
      <c r="AA11" s="79">
        <v>5</v>
      </c>
      <c r="AB11" s="80">
        <f>IFERROR((30/100*MAX('⚙ Parámetros'!D15/(1+2^(-'⚙ Parámetros'!C15*(F11-'⚙ Parámetros'!B15))),'⚙ Parámetros'!G15/(1+2^(-'⚙ Parámetros'!F15*(F11-'⚙ Parámetros'!E15))),1)*F11+30/100*MAX('⚙ Parámetros'!D15/(1+2^(-'⚙ Parámetros'!C15*(G11-'⚙ Parámetros'!B15))),'⚙ Parámetros'!G15/(1+2^(-'⚙ Parámetros'!F15*(G11-'⚙ Parámetros'!E15))),1)*G11+20/100*MAX('⚙ Parámetros'!D15/(1+2^(-'⚙ Parámetros'!C15*(H11-'⚙ Parámetros'!B15))),'⚙ Parámetros'!G15/(1+2^(-'⚙ Parámetros'!F15*(H11-'⚙ Parámetros'!E15))),1)*H11+20/100*MAX('⚙ Parámetros'!D15/(1+2^(-'⚙ Parámetros'!C15*(I11-'⚙ Parámetros'!B15))),'⚙ Parámetros'!G15/(1+2^(-'⚙ Parámetros'!F15*(I11-'⚙ Parámetros'!E15))),1)*I11)/(30/100*MAX('⚙ Parámetros'!D15/(1+2^(-'⚙ Parámetros'!C15*(F11-'⚙ Parámetros'!B15))),'⚙ Parámetros'!G15/(1+2^(-'⚙ Parámetros'!F15*(F11-'⚙ Parámetros'!E15))),1)+30/100*MAX('⚙ Parámetros'!D15/(1+2^(-'⚙ Parámetros'!C15*(G11-'⚙ Parámetros'!B15))),'⚙ Parámetros'!G15/(1+2^(-'⚙ Parámetros'!F15*(G11-'⚙ Parámetros'!E15))),1)+20/100*MAX('⚙ Parámetros'!D15/(1+2^(-'⚙ Parámetros'!C15*(H11-'⚙ Parámetros'!B15))),'⚙ Parámetros'!G15/(1+2^(-'⚙ Parámetros'!F15*(H11-'⚙ Parámetros'!E15))),1)+20/100*MAX('⚙ Parámetros'!D15/(1+2^(-'⚙ Parámetros'!C15*(I11-'⚙ Parámetros'!B15))),'⚙ Parámetros'!G15/(1+2^(-'⚙ Parámetros'!F15*(I11-'⚙ Parámetros'!E15))),1)),0)</f>
        <v>7.4660194174757279</v>
      </c>
      <c r="AC11" s="80">
        <f>IFERROR((35/100*MAX('⚙ Parámetros'!D16/(1+2^(-'⚙ Parámetros'!C16*(J11-'⚙ Parámetros'!B16))),'⚙ Parámetros'!G16/(1+2^(-'⚙ Parámetros'!F16*(J11-'⚙ Parámetros'!E16))),1)*J11+25/100*MAX('⚙ Parámetros'!D16/(1+2^(-'⚙ Parámetros'!C16*(K11-'⚙ Parámetros'!B16))),'⚙ Parámetros'!G16/(1+2^(-'⚙ Parámetros'!F16*(K11-'⚙ Parámetros'!E16))),1)*K11+20/100*MAX('⚙ Parámetros'!D16/(1+2^(-'⚙ Parámetros'!C16*(L11-'⚙ Parámetros'!B16))),'⚙ Parámetros'!G16/(1+2^(-'⚙ Parámetros'!F16*(L11-'⚙ Parámetros'!E16))),1)*L11+20/100*MAX('⚙ Parámetros'!D16/(1+2^(-'⚙ Parámetros'!C16*(M11-'⚙ Parámetros'!B16))),'⚙ Parámetros'!G16/(1+2^(-'⚙ Parámetros'!F16*(M11-'⚙ Parámetros'!E16))),1)*M11)/(35/100*MAX('⚙ Parámetros'!D16/(1+2^(-'⚙ Parámetros'!C16*(J11-'⚙ Parámetros'!B16))),'⚙ Parámetros'!G16/(1+2^(-'⚙ Parámetros'!F16*(J11-'⚙ Parámetros'!E16))),1)+25/100*MAX('⚙ Parámetros'!D16/(1+2^(-'⚙ Parámetros'!C16*(K11-'⚙ Parámetros'!B16))),'⚙ Parámetros'!G16/(1+2^(-'⚙ Parámetros'!F16*(K11-'⚙ Parámetros'!E16))),1)+20/100*MAX('⚙ Parámetros'!D16/(1+2^(-'⚙ Parámetros'!C16*(L11-'⚙ Parámetros'!B16))),'⚙ Parámetros'!G16/(1+2^(-'⚙ Parámetros'!F16*(L11-'⚙ Parámetros'!E16))),1)+20/100*MAX('⚙ Parámetros'!D16/(1+2^(-'⚙ Parámetros'!C16*(M11-'⚙ Parámetros'!B16))),'⚙ Parámetros'!G16/(1+2^(-'⚙ Parámetros'!F16*(M11-'⚙ Parámetros'!E16))),1)),0)</f>
        <v>4.9411764705882355</v>
      </c>
      <c r="AD11" s="80">
        <f>IFERROR((30/100*MAX('⚙ Parámetros'!D17/(1+2^(-'⚙ Parámetros'!C17*(N11-'⚙ Parámetros'!B17))),'⚙ Parámetros'!G17/(1+2^(-'⚙ Parámetros'!F17*(N11-'⚙ Parámetros'!E17))),1)*N11+25/100*MAX('⚙ Parámetros'!D17/(1+2^(-'⚙ Parámetros'!C17*(O11-'⚙ Parámetros'!B17))),'⚙ Parámetros'!G17/(1+2^(-'⚙ Parámetros'!F17*(O11-'⚙ Parámetros'!E17))),1)*O11+25/100*MAX('⚙ Parámetros'!D17/(1+2^(-'⚙ Parámetros'!C17*(P11-'⚙ Parámetros'!B17))),'⚙ Parámetros'!G17/(1+2^(-'⚙ Parámetros'!F17*(P11-'⚙ Parámetros'!E17))),1)*P11+20/100*MAX('⚙ Parámetros'!D17/(1+2^(-'⚙ Parámetros'!C17*(Q11-'⚙ Parámetros'!B17))),'⚙ Parámetros'!G17/(1+2^(-'⚙ Parámetros'!F17*(Q11-'⚙ Parámetros'!E17))),1)*Q11)/(30/100*MAX('⚙ Parámetros'!D17/(1+2^(-'⚙ Parámetros'!C17*(N11-'⚙ Parámetros'!B17))),'⚙ Parámetros'!G17/(1+2^(-'⚙ Parámetros'!F17*(N11-'⚙ Parámetros'!E17))),1)+25/100*MAX('⚙ Parámetros'!D17/(1+2^(-'⚙ Parámetros'!C17*(O11-'⚙ Parámetros'!B17))),'⚙ Parámetros'!G17/(1+2^(-'⚙ Parámetros'!F17*(O11-'⚙ Parámetros'!E17))),1)+25/100*MAX('⚙ Parámetros'!D17/(1+2^(-'⚙ Parámetros'!C17*(P11-'⚙ Parámetros'!B17))),'⚙ Parámetros'!G17/(1+2^(-'⚙ Parámetros'!F17*(P11-'⚙ Parámetros'!E17))),1)+20/100*MAX('⚙ Parámetros'!D17/(1+2^(-'⚙ Parámetros'!C17*(Q11-'⚙ Parámetros'!B17))),'⚙ Parámetros'!G17/(1+2^(-'⚙ Parámetros'!F17*(Q11-'⚙ Parámetros'!E17))),1)),0)</f>
        <v>5.4102564102564106</v>
      </c>
      <c r="AE11" s="80">
        <f>IFERROR((30/100*MAX('⚙ Parámetros'!D18/(1+2^(-'⚙ Parámetros'!C18*(R11-'⚙ Parámetros'!B18))),'⚙ Parámetros'!G18/(1+2^(-'⚙ Parámetros'!F18*(R11-'⚙ Parámetros'!E18))),1)*R11+30/100*MAX('⚙ Parámetros'!D18/(1+2^(-'⚙ Parámetros'!C18*(S11-'⚙ Parámetros'!B18))),'⚙ Parámetros'!G18/(1+2^(-'⚙ Parámetros'!F18*(S11-'⚙ Parámetros'!E18))),1)*S11+20/100*MAX('⚙ Parámetros'!D18/(1+2^(-'⚙ Parámetros'!C18*(T11-'⚙ Parámetros'!B18))),'⚙ Parámetros'!G18/(1+2^(-'⚙ Parámetros'!F18*(T11-'⚙ Parámetros'!E18))),1)*T11+20/100*MAX('⚙ Parámetros'!D18/(1+2^(-'⚙ Parámetros'!C18*(U11-'⚙ Parámetros'!B18))),'⚙ Parámetros'!G18/(1+2^(-'⚙ Parámetros'!F18*(U11-'⚙ Parámetros'!E18))),1)*U11)/(30/100*MAX('⚙ Parámetros'!D18/(1+2^(-'⚙ Parámetros'!C18*(R11-'⚙ Parámetros'!B18))),'⚙ Parámetros'!G18/(1+2^(-'⚙ Parámetros'!F18*(R11-'⚙ Parámetros'!E18))),1)+30/100*MAX('⚙ Parámetros'!D18/(1+2^(-'⚙ Parámetros'!C18*(S11-'⚙ Parámetros'!B18))),'⚙ Parámetros'!G18/(1+2^(-'⚙ Parámetros'!F18*(S11-'⚙ Parámetros'!E18))),1)+20/100*MAX('⚙ Parámetros'!D18/(1+2^(-'⚙ Parámetros'!C18*(T11-'⚙ Parámetros'!B18))),'⚙ Parámetros'!G18/(1+2^(-'⚙ Parámetros'!F18*(T11-'⚙ Parámetros'!E18))),1)+20/100*MAX('⚙ Parámetros'!D18/(1+2^(-'⚙ Parámetros'!C18*(U11-'⚙ Parámetros'!B18))),'⚙ Parámetros'!G18/(1+2^(-'⚙ Parámetros'!F18*(U11-'⚙ Parámetros'!E18))),1)),0)</f>
        <v>8.1801060365339655</v>
      </c>
      <c r="AF11" s="80">
        <f>IFERROR((30/100*MAX('⚙ Parámetros'!D19/(1+2^(-'⚙ Parámetros'!C19*(V11-'⚙ Parámetros'!B19))),'⚙ Parámetros'!G19/(1+2^(-'⚙ Parámetros'!F19*(V11-'⚙ Parámetros'!E19))),1)*V11+35/100*MAX('⚙ Parámetros'!D19/(1+2^(-'⚙ Parámetros'!C19*(W11-'⚙ Parámetros'!B19))),'⚙ Parámetros'!G19/(1+2^(-'⚙ Parámetros'!F19*(W11-'⚙ Parámetros'!E19))),1)*W11+35/100*MAX('⚙ Parámetros'!D19/(1+2^(-'⚙ Parámetros'!C19*(X11-'⚙ Parámetros'!B19))),'⚙ Parámetros'!G19/(1+2^(-'⚙ Parámetros'!F19*(X11-'⚙ Parámetros'!E19))),1)*X11)/(30/100*MAX('⚙ Parámetros'!D19/(1+2^(-'⚙ Parámetros'!C19*(V11-'⚙ Parámetros'!B19))),'⚙ Parámetros'!G19/(1+2^(-'⚙ Parámetros'!F19*(V11-'⚙ Parámetros'!E19))),1)+35/100*MAX('⚙ Parámetros'!D19/(1+2^(-'⚙ Parámetros'!C19*(W11-'⚙ Parámetros'!B19))),'⚙ Parámetros'!G19/(1+2^(-'⚙ Parámetros'!F19*(W11-'⚙ Parámetros'!E19))),1)+35/100*MAX('⚙ Parámetros'!D19/(1+2^(-'⚙ Parámetros'!C19*(X11-'⚙ Parámetros'!B19))),'⚙ Parámetros'!G19/(1+2^(-'⚙ Parámetros'!F19*(X11-'⚙ Parámetros'!E19))),1)),0)</f>
        <v>6.1538461538461542</v>
      </c>
      <c r="AG11" s="80">
        <f>IFERROR((35/100*MAX('⚙ Parámetros'!D20/(1+2^(-'⚙ Parámetros'!C20*(Y11-'⚙ Parámetros'!B20))),'⚙ Parámetros'!G20/(1+2^(-'⚙ Parámetros'!F20*(Y11-'⚙ Parámetros'!E20))),1)*Y11+35/100*MAX('⚙ Parámetros'!D20/(1+2^(-'⚙ Parámetros'!C20*(Z11-'⚙ Parámetros'!B20))),'⚙ Parámetros'!G20/(1+2^(-'⚙ Parámetros'!F20*(Z11-'⚙ Parámetros'!E20))),1)*Z11+30/100*MAX('⚙ Parámetros'!D20/(1+2^(-'⚙ Parámetros'!C20*(AA11-'⚙ Parámetros'!B20))),'⚙ Parámetros'!G20/(1+2^(-'⚙ Parámetros'!F20*(AA11-'⚙ Parámetros'!E20))),1)*AA11)/(35/100*MAX('⚙ Parámetros'!D20/(1+2^(-'⚙ Parámetros'!C20*(Y11-'⚙ Parámetros'!B20))),'⚙ Parámetros'!G20/(1+2^(-'⚙ Parámetros'!F20*(Y11-'⚙ Parámetros'!E20))),1)+35/100*MAX('⚙ Parámetros'!D20/(1+2^(-'⚙ Parámetros'!C20*(Z11-'⚙ Parámetros'!B20))),'⚙ Parámetros'!G20/(1+2^(-'⚙ Parámetros'!F20*(Z11-'⚙ Parámetros'!E20))),1)+30/100*MAX('⚙ Parámetros'!D20/(1+2^(-'⚙ Parámetros'!C20*(AA11-'⚙ Parámetros'!B20))),'⚙ Parámetros'!G20/(1+2^(-'⚙ Parámetros'!F20*(AA11-'⚙ Parámetros'!E20))),1)),0)</f>
        <v>3.7272727272727275</v>
      </c>
      <c r="AH11" s="81">
        <f>('⚙ Parámetros'!B5/100*AB11+'⚙ Parámetros'!B6/100*AC11+'⚙ Parámetros'!B7/100*AD11+'⚙ Parámetros'!B8/100*AE11+'⚙ Parámetros'!B9/100*AF11+'⚙ Parámetros'!B10/100*AG11)</f>
        <v>6.2052715593621572</v>
      </c>
      <c r="AI11" s="33">
        <f ca="1">MIN(1+MAX(0,TODAY()-DATE(2025,11,25))/365*'⚙ Parámetros'!B33,'⚙ Parámetros'!B34)</f>
        <v>1.0817808219178082</v>
      </c>
      <c r="AJ11" s="82">
        <f t="shared" ca="1" si="0"/>
        <v>6.7127437677099939</v>
      </c>
      <c r="AK11" s="83" t="str">
        <f ca="1">IF(AB11&gt;='⚙ Parámetros'!B23,"⚑ AUTO-PRIOR.(D1≥8)",IF(AJ11&gt;='⚙ Parámetros'!B23,"PRIORITARIO",IF(AJ11&gt;='⚙ Parámetros'!B24,"ALTA PRIORIDAD",IF(AJ11&gt;='⚙ Parámetros'!B25,"PRIORIDAD MEDIA",IF(AJ11&gt;='⚙ Parámetros'!B26,"BAJA PRIORIDAD","DESCARTAR")))))</f>
        <v>PRIORIDAD MEDIA</v>
      </c>
      <c r="AL11" s="84" t="str">
        <f t="shared" si="1"/>
        <v>—</v>
      </c>
      <c r="AM11" s="85">
        <v>49</v>
      </c>
      <c r="AN11" s="83" t="str">
        <f>IF(AM11="","—",IF(AM11&lt;'⚙ Parámetros'!B29,"🟢 Corto",IF(AM11&lt;'⚙ Parámetros'!B30,"🟡 Medio","🔴 Largo")))</f>
        <v>🟡 Medio</v>
      </c>
    </row>
    <row r="12" spans="1:40" ht="18.75" customHeight="1" x14ac:dyDescent="0.25">
      <c r="A12" s="69">
        <v>8</v>
      </c>
      <c r="B12" s="30" t="s">
        <v>151</v>
      </c>
      <c r="C12" s="26" t="s">
        <v>135</v>
      </c>
      <c r="D12" s="71" t="s">
        <v>136</v>
      </c>
      <c r="E12" s="72" t="s">
        <v>152</v>
      </c>
      <c r="F12" s="74">
        <v>1</v>
      </c>
      <c r="G12" s="86">
        <v>7</v>
      </c>
      <c r="H12" s="74">
        <v>1</v>
      </c>
      <c r="I12" s="74">
        <v>1</v>
      </c>
      <c r="J12" s="75">
        <v>10</v>
      </c>
      <c r="K12" s="86">
        <v>7</v>
      </c>
      <c r="L12" s="75">
        <v>8</v>
      </c>
      <c r="M12" s="75">
        <v>9</v>
      </c>
      <c r="N12" s="87">
        <v>8</v>
      </c>
      <c r="O12" s="87">
        <v>8</v>
      </c>
      <c r="P12" s="74">
        <v>1</v>
      </c>
      <c r="Q12" s="74">
        <v>1</v>
      </c>
      <c r="R12" s="86">
        <v>6</v>
      </c>
      <c r="S12" s="86">
        <v>6</v>
      </c>
      <c r="T12" s="86">
        <v>5</v>
      </c>
      <c r="U12" s="86">
        <v>5</v>
      </c>
      <c r="V12" s="86">
        <v>5</v>
      </c>
      <c r="W12" s="86">
        <v>4</v>
      </c>
      <c r="X12" s="86">
        <v>5</v>
      </c>
      <c r="Y12" s="86">
        <v>5</v>
      </c>
      <c r="Z12" s="74">
        <v>2</v>
      </c>
      <c r="AA12" s="93">
        <v>5</v>
      </c>
      <c r="AB12" s="89">
        <f>IFERROR((30/100*MAX('⚙ Parámetros'!D15/(1+2^(-'⚙ Parámetros'!C15*(F12-'⚙ Parámetros'!B15))),'⚙ Parámetros'!G15/(1+2^(-'⚙ Parámetros'!F15*(F12-'⚙ Parámetros'!E15))),1)*F12+30/100*MAX('⚙ Parámetros'!D15/(1+2^(-'⚙ Parámetros'!C15*(G12-'⚙ Parámetros'!B15))),'⚙ Parámetros'!G15/(1+2^(-'⚙ Parámetros'!F15*(G12-'⚙ Parámetros'!E15))),1)*G12+20/100*MAX('⚙ Parámetros'!D15/(1+2^(-'⚙ Parámetros'!C15*(H12-'⚙ Parámetros'!B15))),'⚙ Parámetros'!G15/(1+2^(-'⚙ Parámetros'!F15*(H12-'⚙ Parámetros'!E15))),1)*H12+20/100*MAX('⚙ Parámetros'!D15/(1+2^(-'⚙ Parámetros'!C15*(I12-'⚙ Parámetros'!B15))),'⚙ Parámetros'!G15/(1+2^(-'⚙ Parámetros'!F15*(I12-'⚙ Parámetros'!E15))),1)*I12)/(30/100*MAX('⚙ Parámetros'!D15/(1+2^(-'⚙ Parámetros'!C15*(F12-'⚙ Parámetros'!B15))),'⚙ Parámetros'!G15/(1+2^(-'⚙ Parámetros'!F15*(F12-'⚙ Parámetros'!E15))),1)+30/100*MAX('⚙ Parámetros'!D15/(1+2^(-'⚙ Parámetros'!C15*(G12-'⚙ Parámetros'!B15))),'⚙ Parámetros'!G15/(1+2^(-'⚙ Parámetros'!F15*(G12-'⚙ Parámetros'!E15))),1)+20/100*MAX('⚙ Parámetros'!D15/(1+2^(-'⚙ Parámetros'!C15*(H12-'⚙ Parámetros'!B15))),'⚙ Parámetros'!G15/(1+2^(-'⚙ Parámetros'!F15*(H12-'⚙ Parámetros'!E15))),1)+20/100*MAX('⚙ Parámetros'!D15/(1+2^(-'⚙ Parámetros'!C15*(I12-'⚙ Parámetros'!B15))),'⚙ Parámetros'!G15/(1+2^(-'⚙ Parámetros'!F15*(I12-'⚙ Parámetros'!E15))),1)),0)</f>
        <v>4.9512195121951219</v>
      </c>
      <c r="AC12" s="89">
        <f>IFERROR((35/100*MAX('⚙ Parámetros'!D16/(1+2^(-'⚙ Parámetros'!C16*(J12-'⚙ Parámetros'!B16))),'⚙ Parámetros'!G16/(1+2^(-'⚙ Parámetros'!F16*(J12-'⚙ Parámetros'!E16))),1)*J12+25/100*MAX('⚙ Parámetros'!D16/(1+2^(-'⚙ Parámetros'!C16*(K12-'⚙ Parámetros'!B16))),'⚙ Parámetros'!G16/(1+2^(-'⚙ Parámetros'!F16*(K12-'⚙ Parámetros'!E16))),1)*K12+20/100*MAX('⚙ Parámetros'!D16/(1+2^(-'⚙ Parámetros'!C16*(L12-'⚙ Parámetros'!B16))),'⚙ Parámetros'!G16/(1+2^(-'⚙ Parámetros'!F16*(L12-'⚙ Parámetros'!E16))),1)*L12+20/100*MAX('⚙ Parámetros'!D16/(1+2^(-'⚙ Parámetros'!C16*(M12-'⚙ Parámetros'!B16))),'⚙ Parámetros'!G16/(1+2^(-'⚙ Parámetros'!F16*(M12-'⚙ Parámetros'!E16))),1)*M12)/(35/100*MAX('⚙ Parámetros'!D16/(1+2^(-'⚙ Parámetros'!C16*(J12-'⚙ Parámetros'!B16))),'⚙ Parámetros'!G16/(1+2^(-'⚙ Parámetros'!F16*(J12-'⚙ Parámetros'!E16))),1)+25/100*MAX('⚙ Parámetros'!D16/(1+2^(-'⚙ Parámetros'!C16*(K12-'⚙ Parámetros'!B16))),'⚙ Parámetros'!G16/(1+2^(-'⚙ Parámetros'!F16*(K12-'⚙ Parámetros'!E16))),1)+20/100*MAX('⚙ Parámetros'!D16/(1+2^(-'⚙ Parámetros'!C16*(L12-'⚙ Parámetros'!B16))),'⚙ Parámetros'!G16/(1+2^(-'⚙ Parámetros'!F16*(L12-'⚙ Parámetros'!E16))),1)+20/100*MAX('⚙ Parámetros'!D16/(1+2^(-'⚙ Parámetros'!C16*(M12-'⚙ Parámetros'!B16))),'⚙ Parámetros'!G16/(1+2^(-'⚙ Parámetros'!F16*(M12-'⚙ Parámetros'!E16))),1)),0)</f>
        <v>9.1224798056084584</v>
      </c>
      <c r="AD12" s="89">
        <f>IFERROR((30/100*MAX('⚙ Parámetros'!D17/(1+2^(-'⚙ Parámetros'!C17*(N12-'⚙ Parámetros'!B17))),'⚙ Parámetros'!G17/(1+2^(-'⚙ Parámetros'!F17*(N12-'⚙ Parámetros'!E17))),1)*N12+25/100*MAX('⚙ Parámetros'!D17/(1+2^(-'⚙ Parámetros'!C17*(O12-'⚙ Parámetros'!B17))),'⚙ Parámetros'!G17/(1+2^(-'⚙ Parámetros'!F17*(O12-'⚙ Parámetros'!E17))),1)*O12+25/100*MAX('⚙ Parámetros'!D17/(1+2^(-'⚙ Parámetros'!C17*(P12-'⚙ Parámetros'!B17))),'⚙ Parámetros'!G17/(1+2^(-'⚙ Parámetros'!F17*(P12-'⚙ Parámetros'!E17))),1)*P12+20/100*MAX('⚙ Parámetros'!D17/(1+2^(-'⚙ Parámetros'!C17*(Q12-'⚙ Parámetros'!B17))),'⚙ Parámetros'!G17/(1+2^(-'⚙ Parámetros'!F17*(Q12-'⚙ Parámetros'!E17))),1)*Q12)/(30/100*MAX('⚙ Parámetros'!D17/(1+2^(-'⚙ Parámetros'!C17*(N12-'⚙ Parámetros'!B17))),'⚙ Parámetros'!G17/(1+2^(-'⚙ Parámetros'!F17*(N12-'⚙ Parámetros'!E17))),1)+25/100*MAX('⚙ Parámetros'!D17/(1+2^(-'⚙ Parámetros'!C17*(O12-'⚙ Parámetros'!B17))),'⚙ Parámetros'!G17/(1+2^(-'⚙ Parámetros'!F17*(O12-'⚙ Parámetros'!E17))),1)+25/100*MAX('⚙ Parámetros'!D17/(1+2^(-'⚙ Parámetros'!C17*(P12-'⚙ Parámetros'!B17))),'⚙ Parámetros'!G17/(1+2^(-'⚙ Parámetros'!F17*(P12-'⚙ Parámetros'!E17))),1)+20/100*MAX('⚙ Parámetros'!D17/(1+2^(-'⚙ Parámetros'!C17*(Q12-'⚙ Parámetros'!B17))),'⚙ Parámetros'!G17/(1+2^(-'⚙ Parámetros'!F17*(Q12-'⚙ Parámetros'!E17))),1)),0)</f>
        <v>6.8113207547169807</v>
      </c>
      <c r="AE12" s="89">
        <f>IFERROR((30/100*MAX('⚙ Parámetros'!D18/(1+2^(-'⚙ Parámetros'!C18*(R12-'⚙ Parámetros'!B18))),'⚙ Parámetros'!G18/(1+2^(-'⚙ Parámetros'!F18*(R12-'⚙ Parámetros'!E18))),1)*R12+30/100*MAX('⚙ Parámetros'!D18/(1+2^(-'⚙ Parámetros'!C18*(S12-'⚙ Parámetros'!B18))),'⚙ Parámetros'!G18/(1+2^(-'⚙ Parámetros'!F18*(S12-'⚙ Parámetros'!E18))),1)*S12+20/100*MAX('⚙ Parámetros'!D18/(1+2^(-'⚙ Parámetros'!C18*(T12-'⚙ Parámetros'!B18))),'⚙ Parámetros'!G18/(1+2^(-'⚙ Parámetros'!F18*(T12-'⚙ Parámetros'!E18))),1)*T12+20/100*MAX('⚙ Parámetros'!D18/(1+2^(-'⚙ Parámetros'!C18*(U12-'⚙ Parámetros'!B18))),'⚙ Parámetros'!G18/(1+2^(-'⚙ Parámetros'!F18*(U12-'⚙ Parámetros'!E18))),1)*U12)/(30/100*MAX('⚙ Parámetros'!D18/(1+2^(-'⚙ Parámetros'!C18*(R12-'⚙ Parámetros'!B18))),'⚙ Parámetros'!G18/(1+2^(-'⚙ Parámetros'!F18*(R12-'⚙ Parámetros'!E18))),1)+30/100*MAX('⚙ Parámetros'!D18/(1+2^(-'⚙ Parámetros'!C18*(S12-'⚙ Parámetros'!B18))),'⚙ Parámetros'!G18/(1+2^(-'⚙ Parámetros'!F18*(S12-'⚙ Parámetros'!E18))),1)+20/100*MAX('⚙ Parámetros'!D18/(1+2^(-'⚙ Parámetros'!C18*(T12-'⚙ Parámetros'!B18))),'⚙ Parámetros'!G18/(1+2^(-'⚙ Parámetros'!F18*(T12-'⚙ Parámetros'!E18))),1)+20/100*MAX('⚙ Parámetros'!D18/(1+2^(-'⚙ Parámetros'!C18*(U12-'⚙ Parámetros'!B18))),'⚙ Parámetros'!G18/(1+2^(-'⚙ Parámetros'!F18*(U12-'⚙ Parámetros'!E18))),1)),0)</f>
        <v>5.6428571428571441</v>
      </c>
      <c r="AF12" s="89">
        <f>IFERROR((30/100*MAX('⚙ Parámetros'!D19/(1+2^(-'⚙ Parámetros'!C19*(V12-'⚙ Parámetros'!B19))),'⚙ Parámetros'!G19/(1+2^(-'⚙ Parámetros'!F19*(V12-'⚙ Parámetros'!E19))),1)*V12+35/100*MAX('⚙ Parámetros'!D19/(1+2^(-'⚙ Parámetros'!C19*(W12-'⚙ Parámetros'!B19))),'⚙ Parámetros'!G19/(1+2^(-'⚙ Parámetros'!F19*(W12-'⚙ Parámetros'!E19))),1)*W12+35/100*MAX('⚙ Parámetros'!D19/(1+2^(-'⚙ Parámetros'!C19*(X12-'⚙ Parámetros'!B19))),'⚙ Parámetros'!G19/(1+2^(-'⚙ Parámetros'!F19*(X12-'⚙ Parámetros'!E19))),1)*X12)/(30/100*MAX('⚙ Parámetros'!D19/(1+2^(-'⚙ Parámetros'!C19*(V12-'⚙ Parámetros'!B19))),'⚙ Parámetros'!G19/(1+2^(-'⚙ Parámetros'!F19*(V12-'⚙ Parámetros'!E19))),1)+35/100*MAX('⚙ Parámetros'!D19/(1+2^(-'⚙ Parámetros'!C19*(W12-'⚙ Parámetros'!B19))),'⚙ Parámetros'!G19/(1+2^(-'⚙ Parámetros'!F19*(W12-'⚙ Parámetros'!E19))),1)+35/100*MAX('⚙ Parámetros'!D19/(1+2^(-'⚙ Parámetros'!C19*(X12-'⚙ Parámetros'!B19))),'⚙ Parámetros'!G19/(1+2^(-'⚙ Parámetros'!F19*(X12-'⚙ Parámetros'!E19))),1)),0)</f>
        <v>4.7123287671232879</v>
      </c>
      <c r="AG12" s="89">
        <f>IFERROR((35/100*MAX('⚙ Parámetros'!D20/(1+2^(-'⚙ Parámetros'!C20*(Y12-'⚙ Parámetros'!B20))),'⚙ Parámetros'!G20/(1+2^(-'⚙ Parámetros'!F20*(Y12-'⚙ Parámetros'!E20))),1)*Y12+35/100*MAX('⚙ Parámetros'!D20/(1+2^(-'⚙ Parámetros'!C20*(Z12-'⚙ Parámetros'!B20))),'⚙ Parámetros'!G20/(1+2^(-'⚙ Parámetros'!F20*(Z12-'⚙ Parámetros'!E20))),1)*Z12+30/100*MAX('⚙ Parámetros'!D20/(1+2^(-'⚙ Parámetros'!C20*(AA12-'⚙ Parámetros'!B20))),'⚙ Parámetros'!G20/(1+2^(-'⚙ Parámetros'!F20*(AA12-'⚙ Parámetros'!E20))),1)*AA12)/(35/100*MAX('⚙ Parámetros'!D20/(1+2^(-'⚙ Parámetros'!C20*(Y12-'⚙ Parámetros'!B20))),'⚙ Parámetros'!G20/(1+2^(-'⚙ Parámetros'!F20*(Y12-'⚙ Parámetros'!E20))),1)+35/100*MAX('⚙ Parámetros'!D20/(1+2^(-'⚙ Parámetros'!C20*(Z12-'⚙ Parámetros'!B20))),'⚙ Parámetros'!G20/(1+2^(-'⚙ Parámetros'!F20*(Z12-'⚙ Parámetros'!E20))),1)+30/100*MAX('⚙ Parámetros'!D20/(1+2^(-'⚙ Parámetros'!C20*(AA12-'⚙ Parámetros'!B20))),'⚙ Parámetros'!G20/(1+2^(-'⚙ Parámetros'!F20*(AA12-'⚙ Parámetros'!E20))),1)),0)</f>
        <v>4.1369863013698636</v>
      </c>
      <c r="AH12" s="90">
        <f>('⚙ Parámetros'!B5/100*AB12+'⚙ Parámetros'!B6/100*AC12+'⚙ Parámetros'!B7/100*AD12+'⚙ Parámetros'!B8/100*AE12+'⚙ Parámetros'!B9/100*AF12+'⚙ Parámetros'!B10/100*AG12)</f>
        <v>6.1514606036883999</v>
      </c>
      <c r="AI12" s="91">
        <f ca="1">MIN(1+MAX(0,TODAY()-DATE(2026,2,20))/365*'⚙ Parámetros'!B33,'⚙ Parámetros'!B34)</f>
        <v>1.046027397260274</v>
      </c>
      <c r="AJ12" s="82">
        <f t="shared" ca="1" si="0"/>
        <v>6.4345963246252911</v>
      </c>
      <c r="AK12" s="92" t="str">
        <f ca="1">IF(AB12&gt;='⚙ Parámetros'!B23,"⚑ AUTO-PRIOR.(D1≥8)",IF(AJ12&gt;='⚙ Parámetros'!B23,"PRIORITARIO",IF(AJ12&gt;='⚙ Parámetros'!B24,"ALTA PRIORIDAD",IF(AJ12&gt;='⚙ Parámetros'!B25,"PRIORIDAD MEDIA",IF(AJ12&gt;='⚙ Parámetros'!B26,"BAJA PRIORIDAD","DESCARTAR")))))</f>
        <v>PRIORIDAD MEDIA</v>
      </c>
      <c r="AL12" s="69" t="str">
        <f t="shared" si="1"/>
        <v>—</v>
      </c>
      <c r="AM12" s="85">
        <v>29</v>
      </c>
      <c r="AN12" s="83" t="str">
        <f>IF(AM12="","—",IF(AM12&lt;'⚙ Parámetros'!B29,"🟢 Corto",IF(AM12&lt;'⚙ Parámetros'!B30,"🟡 Medio","🔴 Largo")))</f>
        <v>🟢 Corto</v>
      </c>
    </row>
    <row r="13" spans="1:40" ht="18.75" customHeight="1" x14ac:dyDescent="0.25">
      <c r="A13" s="69">
        <v>9</v>
      </c>
      <c r="B13" s="70" t="s">
        <v>153</v>
      </c>
      <c r="C13" s="4" t="s">
        <v>142</v>
      </c>
      <c r="D13" s="71" t="s">
        <v>136</v>
      </c>
      <c r="E13" s="72" t="s">
        <v>154</v>
      </c>
      <c r="F13" s="73">
        <v>6</v>
      </c>
      <c r="G13" s="73">
        <v>7</v>
      </c>
      <c r="H13" s="74">
        <v>1</v>
      </c>
      <c r="I13" s="74">
        <v>1</v>
      </c>
      <c r="J13" s="74">
        <v>1</v>
      </c>
      <c r="K13" s="74">
        <v>1</v>
      </c>
      <c r="L13" s="75">
        <v>8</v>
      </c>
      <c r="M13" s="73">
        <v>3</v>
      </c>
      <c r="N13" s="74">
        <v>1</v>
      </c>
      <c r="O13" s="87">
        <v>8</v>
      </c>
      <c r="P13" s="73">
        <v>6</v>
      </c>
      <c r="Q13" s="87">
        <v>8</v>
      </c>
      <c r="R13" s="76">
        <v>9</v>
      </c>
      <c r="S13" s="76">
        <v>9</v>
      </c>
      <c r="T13" s="73">
        <v>5</v>
      </c>
      <c r="U13" s="73">
        <v>5</v>
      </c>
      <c r="V13" s="77">
        <v>8</v>
      </c>
      <c r="W13" s="73">
        <v>6</v>
      </c>
      <c r="X13" s="77">
        <v>9</v>
      </c>
      <c r="Y13" s="73">
        <v>4</v>
      </c>
      <c r="Z13" s="74">
        <v>2</v>
      </c>
      <c r="AA13" s="79">
        <v>5</v>
      </c>
      <c r="AB13" s="80">
        <f>IFERROR((30/100*MAX('⚙ Parámetros'!D15/(1+2^(-'⚙ Parámetros'!C15*(F13-'⚙ Parámetros'!B15))),'⚙ Parámetros'!G15/(1+2^(-'⚙ Parámetros'!F15*(F13-'⚙ Parámetros'!E15))),1)*F13+30/100*MAX('⚙ Parámetros'!D15/(1+2^(-'⚙ Parámetros'!C15*(G13-'⚙ Parámetros'!B15))),'⚙ Parámetros'!G15/(1+2^(-'⚙ Parámetros'!F15*(G13-'⚙ Parámetros'!E15))),1)*G13+20/100*MAX('⚙ Parámetros'!D15/(1+2^(-'⚙ Parámetros'!C15*(H13-'⚙ Parámetros'!B15))),'⚙ Parámetros'!G15/(1+2^(-'⚙ Parámetros'!F15*(H13-'⚙ Parámetros'!E15))),1)*H13+20/100*MAX('⚙ Parámetros'!D15/(1+2^(-'⚙ Parámetros'!C15*(I13-'⚙ Parámetros'!B15))),'⚙ Parámetros'!G15/(1+2^(-'⚙ Parámetros'!F15*(I13-'⚙ Parámetros'!E15))),1)*I13)/(30/100*MAX('⚙ Parámetros'!D15/(1+2^(-'⚙ Parámetros'!C15*(F13-'⚙ Parámetros'!B15))),'⚙ Parámetros'!G15/(1+2^(-'⚙ Parámetros'!F15*(F13-'⚙ Parámetros'!E15))),1)+30/100*MAX('⚙ Parámetros'!D15/(1+2^(-'⚙ Parámetros'!C15*(G13-'⚙ Parámetros'!B15))),'⚙ Parámetros'!G15/(1+2^(-'⚙ Parámetros'!F15*(G13-'⚙ Parámetros'!E15))),1)+20/100*MAX('⚙ Parámetros'!D15/(1+2^(-'⚙ Parámetros'!C15*(H13-'⚙ Parámetros'!B15))),'⚙ Parámetros'!G15/(1+2^(-'⚙ Parámetros'!F15*(H13-'⚙ Parámetros'!E15))),1)+20/100*MAX('⚙ Parámetros'!D15/(1+2^(-'⚙ Parámetros'!C15*(I13-'⚙ Parámetros'!B15))),'⚙ Parámetros'!G15/(1+2^(-'⚙ Parámetros'!F15*(I13-'⚙ Parámetros'!E15))),1)),0)</f>
        <v>5.7161572052401741</v>
      </c>
      <c r="AC13" s="80">
        <f>IFERROR((35/100*MAX('⚙ Parámetros'!D16/(1+2^(-'⚙ Parámetros'!C16*(J13-'⚙ Parámetros'!B16))),'⚙ Parámetros'!G16/(1+2^(-'⚙ Parámetros'!F16*(J13-'⚙ Parámetros'!E16))),1)*J13+25/100*MAX('⚙ Parámetros'!D16/(1+2^(-'⚙ Parámetros'!C16*(K13-'⚙ Parámetros'!B16))),'⚙ Parámetros'!G16/(1+2^(-'⚙ Parámetros'!F16*(K13-'⚙ Parámetros'!E16))),1)*K13+20/100*MAX('⚙ Parámetros'!D16/(1+2^(-'⚙ Parámetros'!C16*(L13-'⚙ Parámetros'!B16))),'⚙ Parámetros'!G16/(1+2^(-'⚙ Parámetros'!F16*(L13-'⚙ Parámetros'!E16))),1)*L13+20/100*MAX('⚙ Parámetros'!D16/(1+2^(-'⚙ Parámetros'!C16*(M13-'⚙ Parámetros'!B16))),'⚙ Parámetros'!G16/(1+2^(-'⚙ Parámetros'!F16*(M13-'⚙ Parámetros'!E16))),1)*M13)/(35/100*MAX('⚙ Parámetros'!D16/(1+2^(-'⚙ Parámetros'!C16*(J13-'⚙ Parámetros'!B16))),'⚙ Parámetros'!G16/(1+2^(-'⚙ Parámetros'!F16*(J13-'⚙ Parámetros'!E16))),1)+25/100*MAX('⚙ Parámetros'!D16/(1+2^(-'⚙ Parámetros'!C16*(K13-'⚙ Parámetros'!B16))),'⚙ Parámetros'!G16/(1+2^(-'⚙ Parámetros'!F16*(K13-'⚙ Parámetros'!E16))),1)+20/100*MAX('⚙ Parámetros'!D16/(1+2^(-'⚙ Parámetros'!C16*(L13-'⚙ Parámetros'!B16))),'⚙ Parámetros'!G16/(1+2^(-'⚙ Parámetros'!F16*(L13-'⚙ Parámetros'!E16))),1)+20/100*MAX('⚙ Parámetros'!D16/(1+2^(-'⚙ Parámetros'!C16*(M13-'⚙ Parámetros'!B16))),'⚙ Parámetros'!G16/(1+2^(-'⚙ Parámetros'!F16*(M13-'⚙ Parámetros'!E16))),1)),0)</f>
        <v>4.9411764705882355</v>
      </c>
      <c r="AD13" s="80">
        <f>IFERROR((30/100*MAX('⚙ Parámetros'!D17/(1+2^(-'⚙ Parámetros'!C17*(N13-'⚙ Parámetros'!B17))),'⚙ Parámetros'!G17/(1+2^(-'⚙ Parámetros'!F17*(N13-'⚙ Parámetros'!E17))),1)*N13+25/100*MAX('⚙ Parámetros'!D17/(1+2^(-'⚙ Parámetros'!C17*(O13-'⚙ Parámetros'!B17))),'⚙ Parámetros'!G17/(1+2^(-'⚙ Parámetros'!F17*(O13-'⚙ Parámetros'!E17))),1)*O13+25/100*MAX('⚙ Parámetros'!D17/(1+2^(-'⚙ Parámetros'!C17*(P13-'⚙ Parámetros'!B17))),'⚙ Parámetros'!G17/(1+2^(-'⚙ Parámetros'!F17*(P13-'⚙ Parámetros'!E17))),1)*P13+20/100*MAX('⚙ Parámetros'!D17/(1+2^(-'⚙ Parámetros'!C17*(Q13-'⚙ Parámetros'!B17))),'⚙ Parámetros'!G17/(1+2^(-'⚙ Parámetros'!F17*(Q13-'⚙ Parámetros'!E17))),1)*Q13)/(30/100*MAX('⚙ Parámetros'!D17/(1+2^(-'⚙ Parámetros'!C17*(N13-'⚙ Parámetros'!B17))),'⚙ Parámetros'!G17/(1+2^(-'⚙ Parámetros'!F17*(N13-'⚙ Parámetros'!E17))),1)+25/100*MAX('⚙ Parámetros'!D17/(1+2^(-'⚙ Parámetros'!C17*(O13-'⚙ Parámetros'!B17))),'⚙ Parámetros'!G17/(1+2^(-'⚙ Parámetros'!F17*(O13-'⚙ Parámetros'!E17))),1)+25/100*MAX('⚙ Parámetros'!D17/(1+2^(-'⚙ Parámetros'!C17*(P13-'⚙ Parámetros'!B17))),'⚙ Parámetros'!G17/(1+2^(-'⚙ Parámetros'!F17*(P13-'⚙ Parámetros'!E17))),1)+20/100*MAX('⚙ Parámetros'!D17/(1+2^(-'⚙ Parámetros'!C17*(Q13-'⚙ Parámetros'!B17))),'⚙ Parámetros'!G17/(1+2^(-'⚙ Parámetros'!F17*(Q13-'⚙ Parámetros'!E17))),1)),0)</f>
        <v>6.7777777777777777</v>
      </c>
      <c r="AE13" s="80">
        <f>IFERROR((30/100*MAX('⚙ Parámetros'!D18/(1+2^(-'⚙ Parámetros'!C18*(R13-'⚙ Parámetros'!B18))),'⚙ Parámetros'!G18/(1+2^(-'⚙ Parámetros'!F18*(R13-'⚙ Parámetros'!E18))),1)*R13+30/100*MAX('⚙ Parámetros'!D18/(1+2^(-'⚙ Parámetros'!C18*(S13-'⚙ Parámetros'!B18))),'⚙ Parámetros'!G18/(1+2^(-'⚙ Parámetros'!F18*(S13-'⚙ Parámetros'!E18))),1)*S13+20/100*MAX('⚙ Parámetros'!D18/(1+2^(-'⚙ Parámetros'!C18*(T13-'⚙ Parámetros'!B18))),'⚙ Parámetros'!G18/(1+2^(-'⚙ Parámetros'!F18*(T13-'⚙ Parámetros'!E18))),1)*T13+20/100*MAX('⚙ Parámetros'!D18/(1+2^(-'⚙ Parámetros'!C18*(U13-'⚙ Parámetros'!B18))),'⚙ Parámetros'!G18/(1+2^(-'⚙ Parámetros'!F18*(U13-'⚙ Parámetros'!E18))),1)*U13)/(30/100*MAX('⚙ Parámetros'!D18/(1+2^(-'⚙ Parámetros'!C18*(R13-'⚙ Parámetros'!B18))),'⚙ Parámetros'!G18/(1+2^(-'⚙ Parámetros'!F18*(R13-'⚙ Parámetros'!E18))),1)+30/100*MAX('⚙ Parámetros'!D18/(1+2^(-'⚙ Parámetros'!C18*(S13-'⚙ Parámetros'!B18))),'⚙ Parámetros'!G18/(1+2^(-'⚙ Parámetros'!F18*(S13-'⚙ Parámetros'!E18))),1)+20/100*MAX('⚙ Parámetros'!D18/(1+2^(-'⚙ Parámetros'!C18*(T13-'⚙ Parámetros'!B18))),'⚙ Parámetros'!G18/(1+2^(-'⚙ Parámetros'!F18*(T13-'⚙ Parámetros'!E18))),1)+20/100*MAX('⚙ Parámetros'!D18/(1+2^(-'⚙ Parámetros'!C18*(U13-'⚙ Parámetros'!B18))),'⚙ Parámetros'!G18/(1+2^(-'⚙ Parámetros'!F18*(U13-'⚙ Parámetros'!E18))),1)),0)</f>
        <v>8.1801060365339655</v>
      </c>
      <c r="AF13" s="80">
        <f>IFERROR((30/100*MAX('⚙ Parámetros'!D19/(1+2^(-'⚙ Parámetros'!C19*(V13-'⚙ Parámetros'!B19))),'⚙ Parámetros'!G19/(1+2^(-'⚙ Parámetros'!F19*(V13-'⚙ Parámetros'!E19))),1)*V13+35/100*MAX('⚙ Parámetros'!D19/(1+2^(-'⚙ Parámetros'!C19*(W13-'⚙ Parámetros'!B19))),'⚙ Parámetros'!G19/(1+2^(-'⚙ Parámetros'!F19*(W13-'⚙ Parámetros'!E19))),1)*W13+35/100*MAX('⚙ Parámetros'!D19/(1+2^(-'⚙ Parámetros'!C19*(X13-'⚙ Parámetros'!B19))),'⚙ Parámetros'!G19/(1+2^(-'⚙ Parámetros'!F19*(X13-'⚙ Parámetros'!E19))),1)*X13)/(30/100*MAX('⚙ Parámetros'!D19/(1+2^(-'⚙ Parámetros'!C19*(V13-'⚙ Parámetros'!B19))),'⚙ Parámetros'!G19/(1+2^(-'⚙ Parámetros'!F19*(V13-'⚙ Parámetros'!E19))),1)+35/100*MAX('⚙ Parámetros'!D19/(1+2^(-'⚙ Parámetros'!C19*(W13-'⚙ Parámetros'!B19))),'⚙ Parámetros'!G19/(1+2^(-'⚙ Parámetros'!F19*(W13-'⚙ Parámetros'!E19))),1)+35/100*MAX('⚙ Parámetros'!D19/(1+2^(-'⚙ Parámetros'!C19*(X13-'⚙ Parámetros'!B19))),'⚙ Parámetros'!G19/(1+2^(-'⚙ Parámetros'!F19*(X13-'⚙ Parámetros'!E19))),1)),0)</f>
        <v>8.0351483057098907</v>
      </c>
      <c r="AG13" s="80">
        <f>IFERROR((35/100*MAX('⚙ Parámetros'!D20/(1+2^(-'⚙ Parámetros'!C20*(Y13-'⚙ Parámetros'!B20))),'⚙ Parámetros'!G20/(1+2^(-'⚙ Parámetros'!F20*(Y13-'⚙ Parámetros'!E20))),1)*Y13+35/100*MAX('⚙ Parámetros'!D20/(1+2^(-'⚙ Parámetros'!C20*(Z13-'⚙ Parámetros'!B20))),'⚙ Parámetros'!G20/(1+2^(-'⚙ Parámetros'!F20*(Z13-'⚙ Parámetros'!E20))),1)*Z13+30/100*MAX('⚙ Parámetros'!D20/(1+2^(-'⚙ Parámetros'!C20*(AA13-'⚙ Parámetros'!B20))),'⚙ Parámetros'!G20/(1+2^(-'⚙ Parámetros'!F20*(AA13-'⚙ Parámetros'!E20))),1)*AA13)/(35/100*MAX('⚙ Parámetros'!D20/(1+2^(-'⚙ Parámetros'!C20*(Y13-'⚙ Parámetros'!B20))),'⚙ Parámetros'!G20/(1+2^(-'⚙ Parámetros'!F20*(Y13-'⚙ Parámetros'!E20))),1)+35/100*MAX('⚙ Parámetros'!D20/(1+2^(-'⚙ Parámetros'!C20*(Z13-'⚙ Parámetros'!B20))),'⚙ Parámetros'!G20/(1+2^(-'⚙ Parámetros'!F20*(Z13-'⚙ Parámetros'!E20))),1)+30/100*MAX('⚙ Parámetros'!D20/(1+2^(-'⚙ Parámetros'!C20*(AA13-'⚙ Parámetros'!B20))),'⚙ Parámetros'!G20/(1+2^(-'⚙ Parámetros'!F20*(AA13-'⚙ Parámetros'!E20))),1)),0)</f>
        <v>3.7272727272727275</v>
      </c>
      <c r="AH13" s="81">
        <f>('⚙ Parámetros'!B5/100*AB13+'⚙ Parámetros'!B6/100*AC13+'⚙ Parámetros'!B7/100*AD13+'⚙ Parámetros'!B8/100*AE13+'⚙ Parámetros'!B9/100*AF13+'⚙ Parámetros'!B10/100*AG13)</f>
        <v>6.1419473843821377</v>
      </c>
      <c r="AI13" s="33">
        <f ca="1">MIN(1+MAX(0,TODAY()-DATE(2024,9,13))/365*'⚙ Parámetros'!B33,'⚙ Parámetros'!B34)</f>
        <v>1.25</v>
      </c>
      <c r="AJ13" s="82">
        <f t="shared" ca="1" si="0"/>
        <v>7.6774342304776724</v>
      </c>
      <c r="AK13" s="83" t="str">
        <f ca="1">IF(AB13&gt;='⚙ Parámetros'!B23,"⚑ AUTO-PRIOR.(D1≥8)",IF(AJ13&gt;='⚙ Parámetros'!B23,"PRIORITARIO",IF(AJ13&gt;='⚙ Parámetros'!B24,"ALTA PRIORIDAD",IF(AJ13&gt;='⚙ Parámetros'!B25,"PRIORIDAD MEDIA",IF(AJ13&gt;='⚙ Parámetros'!B26,"BAJA PRIORIDAD","DESCARTAR")))))</f>
        <v>ALTA PRIORIDAD</v>
      </c>
      <c r="AL13" s="84" t="str">
        <f t="shared" si="1"/>
        <v>—</v>
      </c>
      <c r="AM13" s="85">
        <v>42</v>
      </c>
      <c r="AN13" s="83" t="str">
        <f>IF(AM13="","—",IF(AM13&lt;'⚙ Parámetros'!B29,"🟢 Corto",IF(AM13&lt;'⚙ Parámetros'!B30,"🟡 Medio","🔴 Largo")))</f>
        <v>🟡 Medio</v>
      </c>
    </row>
    <row r="14" spans="1:40" ht="18.75" customHeight="1" x14ac:dyDescent="0.25">
      <c r="A14" s="69">
        <v>10</v>
      </c>
      <c r="B14" s="30" t="s">
        <v>155</v>
      </c>
      <c r="C14" s="26" t="s">
        <v>135</v>
      </c>
      <c r="D14" s="71" t="s">
        <v>139</v>
      </c>
      <c r="E14" s="72" t="s">
        <v>156</v>
      </c>
      <c r="F14" s="74">
        <v>9</v>
      </c>
      <c r="G14" s="74">
        <v>1</v>
      </c>
      <c r="H14" s="74">
        <v>1</v>
      </c>
      <c r="I14" s="74">
        <v>9</v>
      </c>
      <c r="J14" s="74">
        <v>1</v>
      </c>
      <c r="K14" s="75">
        <v>8</v>
      </c>
      <c r="L14" s="74">
        <v>1</v>
      </c>
      <c r="M14" s="86">
        <v>3</v>
      </c>
      <c r="N14" s="74">
        <v>1</v>
      </c>
      <c r="O14" s="87">
        <v>8</v>
      </c>
      <c r="P14" s="74">
        <v>1</v>
      </c>
      <c r="Q14" s="74">
        <v>1</v>
      </c>
      <c r="R14" s="86">
        <v>5</v>
      </c>
      <c r="S14" s="86">
        <v>5</v>
      </c>
      <c r="T14" s="86">
        <v>5</v>
      </c>
      <c r="U14" s="86">
        <v>5</v>
      </c>
      <c r="V14" s="86">
        <v>5</v>
      </c>
      <c r="W14" s="86">
        <v>6</v>
      </c>
      <c r="X14" s="86">
        <v>3</v>
      </c>
      <c r="Y14" s="86">
        <v>4</v>
      </c>
      <c r="Z14" s="74">
        <v>2</v>
      </c>
      <c r="AA14" s="93">
        <v>5</v>
      </c>
      <c r="AB14" s="89">
        <f>IFERROR((30/100*MAX('⚙ Parámetros'!D15/(1+2^(-'⚙ Parámetros'!C15*(F14-'⚙ Parámetros'!B15))),'⚙ Parámetros'!G15/(1+2^(-'⚙ Parámetros'!F15*(F14-'⚙ Parámetros'!E15))),1)*F14+30/100*MAX('⚙ Parámetros'!D15/(1+2^(-'⚙ Parámetros'!C15*(G14-'⚙ Parámetros'!B15))),'⚙ Parámetros'!G15/(1+2^(-'⚙ Parámetros'!F15*(G14-'⚙ Parámetros'!E15))),1)*G14+20/100*MAX('⚙ Parámetros'!D15/(1+2^(-'⚙ Parámetros'!C15*(H14-'⚙ Parámetros'!B15))),'⚙ Parámetros'!G15/(1+2^(-'⚙ Parámetros'!F15*(H14-'⚙ Parámetros'!E15))),1)*H14+20/100*MAX('⚙ Parámetros'!D15/(1+2^(-'⚙ Parámetros'!C15*(I14-'⚙ Parámetros'!B15))),'⚙ Parámetros'!G15/(1+2^(-'⚙ Parámetros'!F15*(I14-'⚙ Parámetros'!E15))),1)*I14)/(30/100*MAX('⚙ Parámetros'!D15/(1+2^(-'⚙ Parámetros'!C15*(F14-'⚙ Parámetros'!B15))),'⚙ Parámetros'!G15/(1+2^(-'⚙ Parámetros'!F15*(F14-'⚙ Parámetros'!E15))),1)+30/100*MAX('⚙ Parámetros'!D15/(1+2^(-'⚙ Parámetros'!C15*(G14-'⚙ Parámetros'!B15))),'⚙ Parámetros'!G15/(1+2^(-'⚙ Parámetros'!F15*(G14-'⚙ Parámetros'!E15))),1)+20/100*MAX('⚙ Parámetros'!D15/(1+2^(-'⚙ Parámetros'!C15*(H14-'⚙ Parámetros'!B15))),'⚙ Parámetros'!G15/(1+2^(-'⚙ Parámetros'!F15*(H14-'⚙ Parámetros'!E15))),1)+20/100*MAX('⚙ Parámetros'!D15/(1+2^(-'⚙ Parámetros'!C15*(I14-'⚙ Parámetros'!B15))),'⚙ Parámetros'!G15/(1+2^(-'⚙ Parámetros'!F15*(I14-'⚙ Parámetros'!E15))),1)),0)</f>
        <v>8.1552795031055894</v>
      </c>
      <c r="AC14" s="89">
        <f>IFERROR((35/100*MAX('⚙ Parámetros'!D16/(1+2^(-'⚙ Parámetros'!C16*(J14-'⚙ Parámetros'!B16))),'⚙ Parámetros'!G16/(1+2^(-'⚙ Parámetros'!F16*(J14-'⚙ Parámetros'!E16))),1)*J14+25/100*MAX('⚙ Parámetros'!D16/(1+2^(-'⚙ Parámetros'!C16*(K14-'⚙ Parámetros'!B16))),'⚙ Parámetros'!G16/(1+2^(-'⚙ Parámetros'!F16*(K14-'⚙ Parámetros'!E16))),1)*K14+20/100*MAX('⚙ Parámetros'!D16/(1+2^(-'⚙ Parámetros'!C16*(L14-'⚙ Parámetros'!B16))),'⚙ Parámetros'!G16/(1+2^(-'⚙ Parámetros'!F16*(L14-'⚙ Parámetros'!E16))),1)*L14+20/100*MAX('⚙ Parámetros'!D16/(1+2^(-'⚙ Parámetros'!C16*(M14-'⚙ Parámetros'!B16))),'⚙ Parámetros'!G16/(1+2^(-'⚙ Parámetros'!F16*(M14-'⚙ Parámetros'!E16))),1)*M14)/(35/100*MAX('⚙ Parámetros'!D16/(1+2^(-'⚙ Parámetros'!C16*(J14-'⚙ Parámetros'!B16))),'⚙ Parámetros'!G16/(1+2^(-'⚙ Parámetros'!F16*(J14-'⚙ Parámetros'!E16))),1)+25/100*MAX('⚙ Parámetros'!D16/(1+2^(-'⚙ Parámetros'!C16*(K14-'⚙ Parámetros'!B16))),'⚙ Parámetros'!G16/(1+2^(-'⚙ Parámetros'!F16*(K14-'⚙ Parámetros'!E16))),1)+20/100*MAX('⚙ Parámetros'!D16/(1+2^(-'⚙ Parámetros'!C16*(L14-'⚙ Parámetros'!B16))),'⚙ Parámetros'!G16/(1+2^(-'⚙ Parámetros'!F16*(L14-'⚙ Parámetros'!E16))),1)+20/100*MAX('⚙ Parámetros'!D16/(1+2^(-'⚙ Parámetros'!C16*(M14-'⚙ Parámetros'!B16))),'⚙ Parámetros'!G16/(1+2^(-'⚙ Parámetros'!F16*(M14-'⚙ Parámetros'!E16))),1)),0)</f>
        <v>5.4133333333333322</v>
      </c>
      <c r="AD14" s="89">
        <f>IFERROR((30/100*MAX('⚙ Parámetros'!D17/(1+2^(-'⚙ Parámetros'!C17*(N14-'⚙ Parámetros'!B17))),'⚙ Parámetros'!G17/(1+2^(-'⚙ Parámetros'!F17*(N14-'⚙ Parámetros'!E17))),1)*N14+25/100*MAX('⚙ Parámetros'!D17/(1+2^(-'⚙ Parámetros'!C17*(O14-'⚙ Parámetros'!B17))),'⚙ Parámetros'!G17/(1+2^(-'⚙ Parámetros'!F17*(O14-'⚙ Parámetros'!E17))),1)*O14+25/100*MAX('⚙ Parámetros'!D17/(1+2^(-'⚙ Parámetros'!C17*(P14-'⚙ Parámetros'!B17))),'⚙ Parámetros'!G17/(1+2^(-'⚙ Parámetros'!F17*(P14-'⚙ Parámetros'!E17))),1)*P14+20/100*MAX('⚙ Parámetros'!D17/(1+2^(-'⚙ Parámetros'!C17*(Q14-'⚙ Parámetros'!B17))),'⚙ Parámetros'!G17/(1+2^(-'⚙ Parámetros'!F17*(Q14-'⚙ Parámetros'!E17))),1)*Q14)/(30/100*MAX('⚙ Parámetros'!D17/(1+2^(-'⚙ Parámetros'!C17*(N14-'⚙ Parámetros'!B17))),'⚙ Parámetros'!G17/(1+2^(-'⚙ Parámetros'!F17*(N14-'⚙ Parámetros'!E17))),1)+25/100*MAX('⚙ Parámetros'!D17/(1+2^(-'⚙ Parámetros'!C17*(O14-'⚙ Parámetros'!B17))),'⚙ Parámetros'!G17/(1+2^(-'⚙ Parámetros'!F17*(O14-'⚙ Parámetros'!E17))),1)+25/100*MAX('⚙ Parámetros'!D17/(1+2^(-'⚙ Parámetros'!C17*(P14-'⚙ Parámetros'!B17))),'⚙ Parámetros'!G17/(1+2^(-'⚙ Parámetros'!F17*(P14-'⚙ Parámetros'!E17))),1)+20/100*MAX('⚙ Parámetros'!D17/(1+2^(-'⚙ Parámetros'!C17*(Q14-'⚙ Parámetros'!B17))),'⚙ Parámetros'!G17/(1+2^(-'⚙ Parámetros'!F17*(Q14-'⚙ Parámetros'!E17))),1)),0)</f>
        <v>5</v>
      </c>
      <c r="AE14" s="89">
        <f>IFERROR((30/100*MAX('⚙ Parámetros'!D18/(1+2^(-'⚙ Parámetros'!C18*(R14-'⚙ Parámetros'!B18))),'⚙ Parámetros'!G18/(1+2^(-'⚙ Parámetros'!F18*(R14-'⚙ Parámetros'!E18))),1)*R14+30/100*MAX('⚙ Parámetros'!D18/(1+2^(-'⚙ Parámetros'!C18*(S14-'⚙ Parámetros'!B18))),'⚙ Parámetros'!G18/(1+2^(-'⚙ Parámetros'!F18*(S14-'⚙ Parámetros'!E18))),1)*S14+20/100*MAX('⚙ Parámetros'!D18/(1+2^(-'⚙ Parámetros'!C18*(T14-'⚙ Parámetros'!B18))),'⚙ Parámetros'!G18/(1+2^(-'⚙ Parámetros'!F18*(T14-'⚙ Parámetros'!E18))),1)*T14+20/100*MAX('⚙ Parámetros'!D18/(1+2^(-'⚙ Parámetros'!C18*(U14-'⚙ Parámetros'!B18))),'⚙ Parámetros'!G18/(1+2^(-'⚙ Parámetros'!F18*(U14-'⚙ Parámetros'!E18))),1)*U14)/(30/100*MAX('⚙ Parámetros'!D18/(1+2^(-'⚙ Parámetros'!C18*(R14-'⚙ Parámetros'!B18))),'⚙ Parámetros'!G18/(1+2^(-'⚙ Parámetros'!F18*(R14-'⚙ Parámetros'!E18))),1)+30/100*MAX('⚙ Parámetros'!D18/(1+2^(-'⚙ Parámetros'!C18*(S14-'⚙ Parámetros'!B18))),'⚙ Parámetros'!G18/(1+2^(-'⚙ Parámetros'!F18*(S14-'⚙ Parámetros'!E18))),1)+20/100*MAX('⚙ Parámetros'!D18/(1+2^(-'⚙ Parámetros'!C18*(T14-'⚙ Parámetros'!B18))),'⚙ Parámetros'!G18/(1+2^(-'⚙ Parámetros'!F18*(T14-'⚙ Parámetros'!E18))),1)+20/100*MAX('⚙ Parámetros'!D18/(1+2^(-'⚙ Parámetros'!C18*(U14-'⚙ Parámetros'!B18))),'⚙ Parámetros'!G18/(1+2^(-'⚙ Parámetros'!F18*(U14-'⚙ Parámetros'!E18))),1)),0)</f>
        <v>5</v>
      </c>
      <c r="AF14" s="89">
        <f>IFERROR((30/100*MAX('⚙ Parámetros'!D19/(1+2^(-'⚙ Parámetros'!C19*(V14-'⚙ Parámetros'!B19))),'⚙ Parámetros'!G19/(1+2^(-'⚙ Parámetros'!F19*(V14-'⚙ Parámetros'!E19))),1)*V14+35/100*MAX('⚙ Parámetros'!D19/(1+2^(-'⚙ Parámetros'!C19*(W14-'⚙ Parámetros'!B19))),'⚙ Parámetros'!G19/(1+2^(-'⚙ Parámetros'!F19*(W14-'⚙ Parámetros'!E19))),1)*W14+35/100*MAX('⚙ Parámetros'!D19/(1+2^(-'⚙ Parámetros'!C19*(X14-'⚙ Parámetros'!B19))),'⚙ Parámetros'!G19/(1+2^(-'⚙ Parámetros'!F19*(X14-'⚙ Parámetros'!E19))),1)*X14)/(30/100*MAX('⚙ Parámetros'!D19/(1+2^(-'⚙ Parámetros'!C19*(V14-'⚙ Parámetros'!B19))),'⚙ Parámetros'!G19/(1+2^(-'⚙ Parámetros'!F19*(V14-'⚙ Parámetros'!E19))),1)+35/100*MAX('⚙ Parámetros'!D19/(1+2^(-'⚙ Parámetros'!C19*(W14-'⚙ Parámetros'!B19))),'⚙ Parámetros'!G19/(1+2^(-'⚙ Parámetros'!F19*(W14-'⚙ Parámetros'!E19))),1)+35/100*MAX('⚙ Parámetros'!D19/(1+2^(-'⚙ Parámetros'!C19*(X14-'⚙ Parámetros'!B19))),'⚙ Parámetros'!G19/(1+2^(-'⚙ Parámetros'!F19*(X14-'⚙ Parámetros'!E19))),1)),0)</f>
        <v>5.0782122905027931</v>
      </c>
      <c r="AG14" s="89">
        <f>IFERROR((35/100*MAX('⚙ Parámetros'!D20/(1+2^(-'⚙ Parámetros'!C20*(Y14-'⚙ Parámetros'!B20))),'⚙ Parámetros'!G20/(1+2^(-'⚙ Parámetros'!F20*(Y14-'⚙ Parámetros'!E20))),1)*Y14+35/100*MAX('⚙ Parámetros'!D20/(1+2^(-'⚙ Parámetros'!C20*(Z14-'⚙ Parámetros'!B20))),'⚙ Parámetros'!G20/(1+2^(-'⚙ Parámetros'!F20*(Z14-'⚙ Parámetros'!E20))),1)*Z14+30/100*MAX('⚙ Parámetros'!D20/(1+2^(-'⚙ Parámetros'!C20*(AA14-'⚙ Parámetros'!B20))),'⚙ Parámetros'!G20/(1+2^(-'⚙ Parámetros'!F20*(AA14-'⚙ Parámetros'!E20))),1)*AA14)/(35/100*MAX('⚙ Parámetros'!D20/(1+2^(-'⚙ Parámetros'!C20*(Y14-'⚙ Parámetros'!B20))),'⚙ Parámetros'!G20/(1+2^(-'⚙ Parámetros'!F20*(Y14-'⚙ Parámetros'!E20))),1)+35/100*MAX('⚙ Parámetros'!D20/(1+2^(-'⚙ Parámetros'!C20*(Z14-'⚙ Parámetros'!B20))),'⚙ Parámetros'!G20/(1+2^(-'⚙ Parámetros'!F20*(Z14-'⚙ Parámetros'!E20))),1)+30/100*MAX('⚙ Parámetros'!D20/(1+2^(-'⚙ Parámetros'!C20*(AA14-'⚙ Parámetros'!B20))),'⚙ Parámetros'!G20/(1+2^(-'⚙ Parámetros'!F20*(AA14-'⚙ Parámetros'!E20))),1)),0)</f>
        <v>3.7272727272727275</v>
      </c>
      <c r="AH14" s="90">
        <f>('⚙ Parámetros'!B5/100*AB14+'⚙ Parámetros'!B6/100*AC14+'⚙ Parámetros'!B7/100*AD14+'⚙ Parámetros'!B8/100*AE14+'⚙ Parámetros'!B9/100*AF14+'⚙ Parámetros'!B10/100*AG14)</f>
        <v>5.9352535648304396</v>
      </c>
      <c r="AI14" s="91">
        <f ca="1">MIN(1+MAX(0,TODAY()-DATE(2026,5,14))/365*'⚙ Parámetros'!B33,'⚙ Parámetros'!B34)</f>
        <v>1.011917808219178</v>
      </c>
      <c r="AJ14" s="82">
        <f t="shared" ca="1" si="0"/>
        <v>6.0059887785482813</v>
      </c>
      <c r="AK14" s="92" t="str">
        <f ca="1">IF(AB14&gt;='⚙ Parámetros'!B23,"⚑ AUTO-PRIOR.(D1≥8)",IF(AJ14&gt;='⚙ Parámetros'!B23,"PRIORITARIO",IF(AJ14&gt;='⚙ Parámetros'!B24,"ALTA PRIORIDAD",IF(AJ14&gt;='⚙ Parámetros'!B25,"PRIORIDAD MEDIA",IF(AJ14&gt;='⚙ Parámetros'!B26,"BAJA PRIORIDAD","DESCARTAR")))))</f>
        <v>PRIORIDAD MEDIA</v>
      </c>
      <c r="AL14" s="29" t="str">
        <f t="shared" si="1"/>
        <v>SÍ ⚑</v>
      </c>
      <c r="AM14" s="85">
        <v>35</v>
      </c>
      <c r="AN14" s="83" t="str">
        <f>IF(AM14="","—",IF(AM14&lt;'⚙ Parámetros'!B29,"🟢 Corto",IF(AM14&lt;'⚙ Parámetros'!B30,"🟡 Medio","🔴 Largo")))</f>
        <v>🟡 Medio</v>
      </c>
    </row>
    <row r="15" spans="1:40" ht="18.75" customHeight="1" x14ac:dyDescent="0.25">
      <c r="A15" s="69">
        <v>11</v>
      </c>
      <c r="B15" s="70" t="s">
        <v>157</v>
      </c>
      <c r="C15" s="4" t="s">
        <v>147</v>
      </c>
      <c r="D15" s="71" t="s">
        <v>136</v>
      </c>
      <c r="E15" s="72" t="s">
        <v>158</v>
      </c>
      <c r="F15" s="74">
        <v>1</v>
      </c>
      <c r="G15" s="74">
        <v>1</v>
      </c>
      <c r="H15" s="73">
        <v>5</v>
      </c>
      <c r="I15" s="74">
        <v>1</v>
      </c>
      <c r="J15" s="75">
        <v>10</v>
      </c>
      <c r="K15" s="75">
        <v>9</v>
      </c>
      <c r="L15" s="75">
        <v>8</v>
      </c>
      <c r="M15" s="75">
        <v>9</v>
      </c>
      <c r="N15" s="87">
        <v>8</v>
      </c>
      <c r="O15" s="74">
        <v>1</v>
      </c>
      <c r="P15" s="73">
        <v>7</v>
      </c>
      <c r="Q15" s="73">
        <v>6</v>
      </c>
      <c r="R15" s="76">
        <v>9</v>
      </c>
      <c r="S15" s="76">
        <v>9</v>
      </c>
      <c r="T15" s="73">
        <v>5</v>
      </c>
      <c r="U15" s="73">
        <v>5</v>
      </c>
      <c r="V15" s="73">
        <v>7</v>
      </c>
      <c r="W15" s="73">
        <v>6</v>
      </c>
      <c r="X15" s="73">
        <v>5</v>
      </c>
      <c r="Y15" s="73">
        <v>5</v>
      </c>
      <c r="Z15" s="74">
        <v>2</v>
      </c>
      <c r="AA15" s="88">
        <v>8</v>
      </c>
      <c r="AB15" s="80">
        <f>IFERROR((30/100*MAX('⚙ Parámetros'!D15/(1+2^(-'⚙ Parámetros'!C15*(F15-'⚙ Parámetros'!B15))),'⚙ Parámetros'!G15/(1+2^(-'⚙ Parámetros'!F15*(F15-'⚙ Parámetros'!E15))),1)*F15+30/100*MAX('⚙ Parámetros'!D15/(1+2^(-'⚙ Parámetros'!C15*(G15-'⚙ Parámetros'!B15))),'⚙ Parámetros'!G15/(1+2^(-'⚙ Parámetros'!F15*(G15-'⚙ Parámetros'!E15))),1)*G15+20/100*MAX('⚙ Parámetros'!D15/(1+2^(-'⚙ Parámetros'!C15*(H15-'⚙ Parámetros'!B15))),'⚙ Parámetros'!G15/(1+2^(-'⚙ Parámetros'!F15*(H15-'⚙ Parámetros'!E15))),1)*H15+20/100*MAX('⚙ Parámetros'!D15/(1+2^(-'⚙ Parámetros'!C15*(I15-'⚙ Parámetros'!B15))),'⚙ Parámetros'!G15/(1+2^(-'⚙ Parámetros'!F15*(I15-'⚙ Parámetros'!E15))),1)*I15)/(30/100*MAX('⚙ Parámetros'!D15/(1+2^(-'⚙ Parámetros'!C15*(F15-'⚙ Parámetros'!B15))),'⚙ Parámetros'!G15/(1+2^(-'⚙ Parámetros'!F15*(F15-'⚙ Parámetros'!E15))),1)+30/100*MAX('⚙ Parámetros'!D15/(1+2^(-'⚙ Parámetros'!C15*(G15-'⚙ Parámetros'!B15))),'⚙ Parámetros'!G15/(1+2^(-'⚙ Parámetros'!F15*(G15-'⚙ Parámetros'!E15))),1)+20/100*MAX('⚙ Parámetros'!D15/(1+2^(-'⚙ Parámetros'!C15*(H15-'⚙ Parámetros'!B15))),'⚙ Parámetros'!G15/(1+2^(-'⚙ Parámetros'!F15*(H15-'⚙ Parámetros'!E15))),1)+20/100*MAX('⚙ Parámetros'!D15/(1+2^(-'⚙ Parámetros'!C15*(I15-'⚙ Parámetros'!B15))),'⚙ Parámetros'!G15/(1+2^(-'⚙ Parámetros'!F15*(I15-'⚙ Parámetros'!E15))),1)),0)</f>
        <v>2.1428571428571428</v>
      </c>
      <c r="AC15" s="80">
        <f>IFERROR((35/100*MAX('⚙ Parámetros'!D16/(1+2^(-'⚙ Parámetros'!C16*(J15-'⚙ Parámetros'!B16))),'⚙ Parámetros'!G16/(1+2^(-'⚙ Parámetros'!F16*(J15-'⚙ Parámetros'!E16))),1)*J15+25/100*MAX('⚙ Parámetros'!D16/(1+2^(-'⚙ Parámetros'!C16*(K15-'⚙ Parámetros'!B16))),'⚙ Parámetros'!G16/(1+2^(-'⚙ Parámetros'!F16*(K15-'⚙ Parámetros'!E16))),1)*K15+20/100*MAX('⚙ Parámetros'!D16/(1+2^(-'⚙ Parámetros'!C16*(L15-'⚙ Parámetros'!B16))),'⚙ Parámetros'!G16/(1+2^(-'⚙ Parámetros'!F16*(L15-'⚙ Parámetros'!E16))),1)*L15+20/100*MAX('⚙ Parámetros'!D16/(1+2^(-'⚙ Parámetros'!C16*(M15-'⚙ Parámetros'!B16))),'⚙ Parámetros'!G16/(1+2^(-'⚙ Parámetros'!F16*(M15-'⚙ Parámetros'!E16))),1)*M15)/(35/100*MAX('⚙ Parámetros'!D16/(1+2^(-'⚙ Parámetros'!C16*(J15-'⚙ Parámetros'!B16))),'⚙ Parámetros'!G16/(1+2^(-'⚙ Parámetros'!F16*(J15-'⚙ Parámetros'!E16))),1)+25/100*MAX('⚙ Parámetros'!D16/(1+2^(-'⚙ Parámetros'!C16*(K15-'⚙ Parámetros'!B16))),'⚙ Parámetros'!G16/(1+2^(-'⚙ Parámetros'!F16*(K15-'⚙ Parámetros'!E16))),1)+20/100*MAX('⚙ Parámetros'!D16/(1+2^(-'⚙ Parámetros'!C16*(L15-'⚙ Parámetros'!B16))),'⚙ Parámetros'!G16/(1+2^(-'⚙ Parámetros'!F16*(L15-'⚙ Parámetros'!E16))),1)+20/100*MAX('⚙ Parámetros'!D16/(1+2^(-'⚙ Parámetros'!C16*(M15-'⚙ Parámetros'!B16))),'⚙ Parámetros'!G16/(1+2^(-'⚙ Parámetros'!F16*(M15-'⚙ Parámetros'!E16))),1)),0)</f>
        <v>9.2906110283159453</v>
      </c>
      <c r="AD15" s="80">
        <f>IFERROR((30/100*MAX('⚙ Parámetros'!D17/(1+2^(-'⚙ Parámetros'!C17*(N15-'⚙ Parámetros'!B17))),'⚙ Parámetros'!G17/(1+2^(-'⚙ Parámetros'!F17*(N15-'⚙ Parámetros'!E17))),1)*N15+25/100*MAX('⚙ Parámetros'!D17/(1+2^(-'⚙ Parámetros'!C17*(O15-'⚙ Parámetros'!B17))),'⚙ Parámetros'!G17/(1+2^(-'⚙ Parámetros'!F17*(O15-'⚙ Parámetros'!E17))),1)*O15+25/100*MAX('⚙ Parámetros'!D17/(1+2^(-'⚙ Parámetros'!C17*(P15-'⚙ Parámetros'!B17))),'⚙ Parámetros'!G17/(1+2^(-'⚙ Parámetros'!F17*(P15-'⚙ Parámetros'!E17))),1)*P15+20/100*MAX('⚙ Parámetros'!D17/(1+2^(-'⚙ Parámetros'!C17*(Q15-'⚙ Parámetros'!B17))),'⚙ Parámetros'!G17/(1+2^(-'⚙ Parámetros'!F17*(Q15-'⚙ Parámetros'!E17))),1)*Q15)/(30/100*MAX('⚙ Parámetros'!D17/(1+2^(-'⚙ Parámetros'!C17*(N15-'⚙ Parámetros'!B17))),'⚙ Parámetros'!G17/(1+2^(-'⚙ Parámetros'!F17*(N15-'⚙ Parámetros'!E17))),1)+25/100*MAX('⚙ Parámetros'!D17/(1+2^(-'⚙ Parámetros'!C17*(O15-'⚙ Parámetros'!B17))),'⚙ Parámetros'!G17/(1+2^(-'⚙ Parámetros'!F17*(O15-'⚙ Parámetros'!E17))),1)+25/100*MAX('⚙ Parámetros'!D17/(1+2^(-'⚙ Parámetros'!C17*(P15-'⚙ Parámetros'!B17))),'⚙ Parámetros'!G17/(1+2^(-'⚙ Parámetros'!F17*(P15-'⚙ Parámetros'!E17))),1)+20/100*MAX('⚙ Parámetros'!D17/(1+2^(-'⚙ Parámetros'!C17*(Q15-'⚙ Parámetros'!B17))),'⚙ Parámetros'!G17/(1+2^(-'⚙ Parámetros'!F17*(Q15-'⚙ Parámetros'!E17))),1)),0)</f>
        <v>6.6996148908857505</v>
      </c>
      <c r="AE15" s="80">
        <f>IFERROR((30/100*MAX('⚙ Parámetros'!D18/(1+2^(-'⚙ Parámetros'!C18*(R15-'⚙ Parámetros'!B18))),'⚙ Parámetros'!G18/(1+2^(-'⚙ Parámetros'!F18*(R15-'⚙ Parámetros'!E18))),1)*R15+30/100*MAX('⚙ Parámetros'!D18/(1+2^(-'⚙ Parámetros'!C18*(S15-'⚙ Parámetros'!B18))),'⚙ Parámetros'!G18/(1+2^(-'⚙ Parámetros'!F18*(S15-'⚙ Parámetros'!E18))),1)*S15+20/100*MAX('⚙ Parámetros'!D18/(1+2^(-'⚙ Parámetros'!C18*(T15-'⚙ Parámetros'!B18))),'⚙ Parámetros'!G18/(1+2^(-'⚙ Parámetros'!F18*(T15-'⚙ Parámetros'!E18))),1)*T15+20/100*MAX('⚙ Parámetros'!D18/(1+2^(-'⚙ Parámetros'!C18*(U15-'⚙ Parámetros'!B18))),'⚙ Parámetros'!G18/(1+2^(-'⚙ Parámetros'!F18*(U15-'⚙ Parámetros'!E18))),1)*U15)/(30/100*MAX('⚙ Parámetros'!D18/(1+2^(-'⚙ Parámetros'!C18*(R15-'⚙ Parámetros'!B18))),'⚙ Parámetros'!G18/(1+2^(-'⚙ Parámetros'!F18*(R15-'⚙ Parámetros'!E18))),1)+30/100*MAX('⚙ Parámetros'!D18/(1+2^(-'⚙ Parámetros'!C18*(S15-'⚙ Parámetros'!B18))),'⚙ Parámetros'!G18/(1+2^(-'⚙ Parámetros'!F18*(S15-'⚙ Parámetros'!E18))),1)+20/100*MAX('⚙ Parámetros'!D18/(1+2^(-'⚙ Parámetros'!C18*(T15-'⚙ Parámetros'!B18))),'⚙ Parámetros'!G18/(1+2^(-'⚙ Parámetros'!F18*(T15-'⚙ Parámetros'!E18))),1)+20/100*MAX('⚙ Parámetros'!D18/(1+2^(-'⚙ Parámetros'!C18*(U15-'⚙ Parámetros'!B18))),'⚙ Parámetros'!G18/(1+2^(-'⚙ Parámetros'!F18*(U15-'⚙ Parámetros'!E18))),1)),0)</f>
        <v>8.1801060365339655</v>
      </c>
      <c r="AF15" s="80">
        <f>IFERROR((30/100*MAX('⚙ Parámetros'!D19/(1+2^(-'⚙ Parámetros'!C19*(V15-'⚙ Parámetros'!B19))),'⚙ Parámetros'!G19/(1+2^(-'⚙ Parámetros'!F19*(V15-'⚙ Parámetros'!E19))),1)*V15+35/100*MAX('⚙ Parámetros'!D19/(1+2^(-'⚙ Parámetros'!C19*(W15-'⚙ Parámetros'!B19))),'⚙ Parámetros'!G19/(1+2^(-'⚙ Parámetros'!F19*(W15-'⚙ Parámetros'!E19))),1)*W15+35/100*MAX('⚙ Parámetros'!D19/(1+2^(-'⚙ Parámetros'!C19*(X15-'⚙ Parámetros'!B19))),'⚙ Parámetros'!G19/(1+2^(-'⚙ Parámetros'!F19*(X15-'⚙ Parámetros'!E19))),1)*X15)/(30/100*MAX('⚙ Parámetros'!D19/(1+2^(-'⚙ Parámetros'!C19*(V15-'⚙ Parámetros'!B19))),'⚙ Parámetros'!G19/(1+2^(-'⚙ Parámetros'!F19*(V15-'⚙ Parámetros'!E19))),1)+35/100*MAX('⚙ Parámetros'!D19/(1+2^(-'⚙ Parámetros'!C19*(W15-'⚙ Parámetros'!B19))),'⚙ Parámetros'!G19/(1+2^(-'⚙ Parámetros'!F19*(W15-'⚙ Parámetros'!E19))),1)+35/100*MAX('⚙ Parámetros'!D19/(1+2^(-'⚙ Parámetros'!C19*(X15-'⚙ Parámetros'!B19))),'⚙ Parámetros'!G19/(1+2^(-'⚙ Parámetros'!F19*(X15-'⚙ Parámetros'!E19))),1)),0)</f>
        <v>6.0427350427350435</v>
      </c>
      <c r="AG15" s="80">
        <f>IFERROR((35/100*MAX('⚙ Parámetros'!D20/(1+2^(-'⚙ Parámetros'!C20*(Y15-'⚙ Parámetros'!B20))),'⚙ Parámetros'!G20/(1+2^(-'⚙ Parámetros'!F20*(Y15-'⚙ Parámetros'!E20))),1)*Y15+35/100*MAX('⚙ Parámetros'!D20/(1+2^(-'⚙ Parámetros'!C20*(Z15-'⚙ Parámetros'!B20))),'⚙ Parámetros'!G20/(1+2^(-'⚙ Parámetros'!F20*(Z15-'⚙ Parámetros'!E20))),1)*Z15+30/100*MAX('⚙ Parámetros'!D20/(1+2^(-'⚙ Parámetros'!C20*(AA15-'⚙ Parámetros'!B20))),'⚙ Parámetros'!G20/(1+2^(-'⚙ Parámetros'!F20*(AA15-'⚙ Parámetros'!E20))),1)*AA15)/(35/100*MAX('⚙ Parámetros'!D20/(1+2^(-'⚙ Parámetros'!C20*(Y15-'⚙ Parámetros'!B20))),'⚙ Parámetros'!G20/(1+2^(-'⚙ Parámetros'!F20*(Y15-'⚙ Parámetros'!E20))),1)+35/100*MAX('⚙ Parámetros'!D20/(1+2^(-'⚙ Parámetros'!C20*(Z15-'⚙ Parámetros'!B20))),'⚙ Parámetros'!G20/(1+2^(-'⚙ Parámetros'!F20*(Z15-'⚙ Parámetros'!E20))),1)+30/100*MAX('⚙ Parámetros'!D20/(1+2^(-'⚙ Parámetros'!C20*(AA15-'⚙ Parámetros'!B20))),'⚙ Parámetros'!G20/(1+2^(-'⚙ Parámetros'!F20*(AA15-'⚙ Parámetros'!E20))),1)),0)</f>
        <v>5.9611650485436893</v>
      </c>
      <c r="AH15" s="81">
        <f>('⚙ Parámetros'!B5/100*AB15+'⚙ Parámetros'!B6/100*AC15+'⚙ Parámetros'!B7/100*AD15+'⚙ Parámetros'!B8/100*AE15+'⚙ Parámetros'!B9/100*AF15+'⚙ Parámetros'!B10/100*AG15)</f>
        <v>5.9036817592385571</v>
      </c>
      <c r="AI15" s="33">
        <f ca="1">MIN(1+MAX(0,TODAY()-DATE(2026,3,25))/365*'⚙ Parámetros'!B33,'⚙ Parámetros'!B34)</f>
        <v>1.0324657534246575</v>
      </c>
      <c r="AJ15" s="82">
        <f t="shared" ca="1" si="0"/>
        <v>6.0953492355316445</v>
      </c>
      <c r="AK15" s="83" t="str">
        <f ca="1">IF(AB15&gt;='⚙ Parámetros'!B23,"⚑ AUTO-PRIOR.(D1≥8)",IF(AJ15&gt;='⚙ Parámetros'!B23,"PRIORITARIO",IF(AJ15&gt;='⚙ Parámetros'!B24,"ALTA PRIORIDAD",IF(AJ15&gt;='⚙ Parámetros'!B25,"PRIORIDAD MEDIA",IF(AJ15&gt;='⚙ Parámetros'!B26,"BAJA PRIORIDAD","DESCARTAR")))))</f>
        <v>PRIORIDAD MEDIA</v>
      </c>
      <c r="AL15" s="84" t="str">
        <f t="shared" si="1"/>
        <v>—</v>
      </c>
      <c r="AM15" s="85">
        <v>38</v>
      </c>
      <c r="AN15" s="83" t="str">
        <f>IF(AM15="","—",IF(AM15&lt;'⚙ Parámetros'!B29,"🟢 Corto",IF(AM15&lt;'⚙ Parámetros'!B30,"🟡 Medio","🔴 Largo")))</f>
        <v>🟡 Medio</v>
      </c>
    </row>
    <row r="16" spans="1:40" ht="18.75" customHeight="1" x14ac:dyDescent="0.25">
      <c r="A16" s="69">
        <v>12</v>
      </c>
      <c r="B16" s="30" t="s">
        <v>159</v>
      </c>
      <c r="C16" s="26" t="s">
        <v>147</v>
      </c>
      <c r="D16" s="71" t="s">
        <v>160</v>
      </c>
      <c r="E16" s="72" t="s">
        <v>161</v>
      </c>
      <c r="F16" s="74">
        <v>1</v>
      </c>
      <c r="G16" s="74">
        <v>1</v>
      </c>
      <c r="H16" s="86">
        <v>5</v>
      </c>
      <c r="I16" s="74">
        <v>1</v>
      </c>
      <c r="J16" s="75">
        <v>10</v>
      </c>
      <c r="K16" s="75">
        <v>9</v>
      </c>
      <c r="L16" s="75">
        <v>8</v>
      </c>
      <c r="M16" s="75">
        <v>9</v>
      </c>
      <c r="N16" s="87">
        <v>8</v>
      </c>
      <c r="O16" s="74">
        <v>1</v>
      </c>
      <c r="P16" s="86">
        <v>7</v>
      </c>
      <c r="Q16" s="86">
        <v>6</v>
      </c>
      <c r="R16" s="76">
        <v>9</v>
      </c>
      <c r="S16" s="76">
        <v>9</v>
      </c>
      <c r="T16" s="86">
        <v>5</v>
      </c>
      <c r="U16" s="86">
        <v>5</v>
      </c>
      <c r="V16" s="86">
        <v>7</v>
      </c>
      <c r="W16" s="86">
        <v>6</v>
      </c>
      <c r="X16" s="86">
        <v>5</v>
      </c>
      <c r="Y16" s="86">
        <v>5</v>
      </c>
      <c r="Z16" s="74">
        <v>2</v>
      </c>
      <c r="AA16" s="88">
        <v>8</v>
      </c>
      <c r="AB16" s="89">
        <f>IFERROR((30/100*MAX('⚙ Parámetros'!D15/(1+2^(-'⚙ Parámetros'!C15*(F16-'⚙ Parámetros'!B15))),'⚙ Parámetros'!G15/(1+2^(-'⚙ Parámetros'!F15*(F16-'⚙ Parámetros'!E15))),1)*F16+30/100*MAX('⚙ Parámetros'!D15/(1+2^(-'⚙ Parámetros'!C15*(G16-'⚙ Parámetros'!B15))),'⚙ Parámetros'!G15/(1+2^(-'⚙ Parámetros'!F15*(G16-'⚙ Parámetros'!E15))),1)*G16+20/100*MAX('⚙ Parámetros'!D15/(1+2^(-'⚙ Parámetros'!C15*(H16-'⚙ Parámetros'!B15))),'⚙ Parámetros'!G15/(1+2^(-'⚙ Parámetros'!F15*(H16-'⚙ Parámetros'!E15))),1)*H16+20/100*MAX('⚙ Parámetros'!D15/(1+2^(-'⚙ Parámetros'!C15*(I16-'⚙ Parámetros'!B15))),'⚙ Parámetros'!G15/(1+2^(-'⚙ Parámetros'!F15*(I16-'⚙ Parámetros'!E15))),1)*I16)/(30/100*MAX('⚙ Parámetros'!D15/(1+2^(-'⚙ Parámetros'!C15*(F16-'⚙ Parámetros'!B15))),'⚙ Parámetros'!G15/(1+2^(-'⚙ Parámetros'!F15*(F16-'⚙ Parámetros'!E15))),1)+30/100*MAX('⚙ Parámetros'!D15/(1+2^(-'⚙ Parámetros'!C15*(G16-'⚙ Parámetros'!B15))),'⚙ Parámetros'!G15/(1+2^(-'⚙ Parámetros'!F15*(G16-'⚙ Parámetros'!E15))),1)+20/100*MAX('⚙ Parámetros'!D15/(1+2^(-'⚙ Parámetros'!C15*(H16-'⚙ Parámetros'!B15))),'⚙ Parámetros'!G15/(1+2^(-'⚙ Parámetros'!F15*(H16-'⚙ Parámetros'!E15))),1)+20/100*MAX('⚙ Parámetros'!D15/(1+2^(-'⚙ Parámetros'!C15*(I16-'⚙ Parámetros'!B15))),'⚙ Parámetros'!G15/(1+2^(-'⚙ Parámetros'!F15*(I16-'⚙ Parámetros'!E15))),1)),0)</f>
        <v>2.1428571428571428</v>
      </c>
      <c r="AC16" s="89">
        <f>IFERROR((35/100*MAX('⚙ Parámetros'!D16/(1+2^(-'⚙ Parámetros'!C16*(J16-'⚙ Parámetros'!B16))),'⚙ Parámetros'!G16/(1+2^(-'⚙ Parámetros'!F16*(J16-'⚙ Parámetros'!E16))),1)*J16+25/100*MAX('⚙ Parámetros'!D16/(1+2^(-'⚙ Parámetros'!C16*(K16-'⚙ Parámetros'!B16))),'⚙ Parámetros'!G16/(1+2^(-'⚙ Parámetros'!F16*(K16-'⚙ Parámetros'!E16))),1)*K16+20/100*MAX('⚙ Parámetros'!D16/(1+2^(-'⚙ Parámetros'!C16*(L16-'⚙ Parámetros'!B16))),'⚙ Parámetros'!G16/(1+2^(-'⚙ Parámetros'!F16*(L16-'⚙ Parámetros'!E16))),1)*L16+20/100*MAX('⚙ Parámetros'!D16/(1+2^(-'⚙ Parámetros'!C16*(M16-'⚙ Parámetros'!B16))),'⚙ Parámetros'!G16/(1+2^(-'⚙ Parámetros'!F16*(M16-'⚙ Parámetros'!E16))),1)*M16)/(35/100*MAX('⚙ Parámetros'!D16/(1+2^(-'⚙ Parámetros'!C16*(J16-'⚙ Parámetros'!B16))),'⚙ Parámetros'!G16/(1+2^(-'⚙ Parámetros'!F16*(J16-'⚙ Parámetros'!E16))),1)+25/100*MAX('⚙ Parámetros'!D16/(1+2^(-'⚙ Parámetros'!C16*(K16-'⚙ Parámetros'!B16))),'⚙ Parámetros'!G16/(1+2^(-'⚙ Parámetros'!F16*(K16-'⚙ Parámetros'!E16))),1)+20/100*MAX('⚙ Parámetros'!D16/(1+2^(-'⚙ Parámetros'!C16*(L16-'⚙ Parámetros'!B16))),'⚙ Parámetros'!G16/(1+2^(-'⚙ Parámetros'!F16*(L16-'⚙ Parámetros'!E16))),1)+20/100*MAX('⚙ Parámetros'!D16/(1+2^(-'⚙ Parámetros'!C16*(M16-'⚙ Parámetros'!B16))),'⚙ Parámetros'!G16/(1+2^(-'⚙ Parámetros'!F16*(M16-'⚙ Parámetros'!E16))),1)),0)</f>
        <v>9.2906110283159453</v>
      </c>
      <c r="AD16" s="89">
        <f>IFERROR((30/100*MAX('⚙ Parámetros'!D17/(1+2^(-'⚙ Parámetros'!C17*(N16-'⚙ Parámetros'!B17))),'⚙ Parámetros'!G17/(1+2^(-'⚙ Parámetros'!F17*(N16-'⚙ Parámetros'!E17))),1)*N16+25/100*MAX('⚙ Parámetros'!D17/(1+2^(-'⚙ Parámetros'!C17*(O16-'⚙ Parámetros'!B17))),'⚙ Parámetros'!G17/(1+2^(-'⚙ Parámetros'!F17*(O16-'⚙ Parámetros'!E17))),1)*O16+25/100*MAX('⚙ Parámetros'!D17/(1+2^(-'⚙ Parámetros'!C17*(P16-'⚙ Parámetros'!B17))),'⚙ Parámetros'!G17/(1+2^(-'⚙ Parámetros'!F17*(P16-'⚙ Parámetros'!E17))),1)*P16+20/100*MAX('⚙ Parámetros'!D17/(1+2^(-'⚙ Parámetros'!C17*(Q16-'⚙ Parámetros'!B17))),'⚙ Parámetros'!G17/(1+2^(-'⚙ Parámetros'!F17*(Q16-'⚙ Parámetros'!E17))),1)*Q16)/(30/100*MAX('⚙ Parámetros'!D17/(1+2^(-'⚙ Parámetros'!C17*(N16-'⚙ Parámetros'!B17))),'⚙ Parámetros'!G17/(1+2^(-'⚙ Parámetros'!F17*(N16-'⚙ Parámetros'!E17))),1)+25/100*MAX('⚙ Parámetros'!D17/(1+2^(-'⚙ Parámetros'!C17*(O16-'⚙ Parámetros'!B17))),'⚙ Parámetros'!G17/(1+2^(-'⚙ Parámetros'!F17*(O16-'⚙ Parámetros'!E17))),1)+25/100*MAX('⚙ Parámetros'!D17/(1+2^(-'⚙ Parámetros'!C17*(P16-'⚙ Parámetros'!B17))),'⚙ Parámetros'!G17/(1+2^(-'⚙ Parámetros'!F17*(P16-'⚙ Parámetros'!E17))),1)+20/100*MAX('⚙ Parámetros'!D17/(1+2^(-'⚙ Parámetros'!C17*(Q16-'⚙ Parámetros'!B17))),'⚙ Parámetros'!G17/(1+2^(-'⚙ Parámetros'!F17*(Q16-'⚙ Parámetros'!E17))),1)),0)</f>
        <v>6.6996148908857505</v>
      </c>
      <c r="AE16" s="89">
        <f>IFERROR((30/100*MAX('⚙ Parámetros'!D18/(1+2^(-'⚙ Parámetros'!C18*(R16-'⚙ Parámetros'!B18))),'⚙ Parámetros'!G18/(1+2^(-'⚙ Parámetros'!F18*(R16-'⚙ Parámetros'!E18))),1)*R16+30/100*MAX('⚙ Parámetros'!D18/(1+2^(-'⚙ Parámetros'!C18*(S16-'⚙ Parámetros'!B18))),'⚙ Parámetros'!G18/(1+2^(-'⚙ Parámetros'!F18*(S16-'⚙ Parámetros'!E18))),1)*S16+20/100*MAX('⚙ Parámetros'!D18/(1+2^(-'⚙ Parámetros'!C18*(T16-'⚙ Parámetros'!B18))),'⚙ Parámetros'!G18/(1+2^(-'⚙ Parámetros'!F18*(T16-'⚙ Parámetros'!E18))),1)*T16+20/100*MAX('⚙ Parámetros'!D18/(1+2^(-'⚙ Parámetros'!C18*(U16-'⚙ Parámetros'!B18))),'⚙ Parámetros'!G18/(1+2^(-'⚙ Parámetros'!F18*(U16-'⚙ Parámetros'!E18))),1)*U16)/(30/100*MAX('⚙ Parámetros'!D18/(1+2^(-'⚙ Parámetros'!C18*(R16-'⚙ Parámetros'!B18))),'⚙ Parámetros'!G18/(1+2^(-'⚙ Parámetros'!F18*(R16-'⚙ Parámetros'!E18))),1)+30/100*MAX('⚙ Parámetros'!D18/(1+2^(-'⚙ Parámetros'!C18*(S16-'⚙ Parámetros'!B18))),'⚙ Parámetros'!G18/(1+2^(-'⚙ Parámetros'!F18*(S16-'⚙ Parámetros'!E18))),1)+20/100*MAX('⚙ Parámetros'!D18/(1+2^(-'⚙ Parámetros'!C18*(T16-'⚙ Parámetros'!B18))),'⚙ Parámetros'!G18/(1+2^(-'⚙ Parámetros'!F18*(T16-'⚙ Parámetros'!E18))),1)+20/100*MAX('⚙ Parámetros'!D18/(1+2^(-'⚙ Parámetros'!C18*(U16-'⚙ Parámetros'!B18))),'⚙ Parámetros'!G18/(1+2^(-'⚙ Parámetros'!F18*(U16-'⚙ Parámetros'!E18))),1)),0)</f>
        <v>8.1801060365339655</v>
      </c>
      <c r="AF16" s="89">
        <f>IFERROR((30/100*MAX('⚙ Parámetros'!D19/(1+2^(-'⚙ Parámetros'!C19*(V16-'⚙ Parámetros'!B19))),'⚙ Parámetros'!G19/(1+2^(-'⚙ Parámetros'!F19*(V16-'⚙ Parámetros'!E19))),1)*V16+35/100*MAX('⚙ Parámetros'!D19/(1+2^(-'⚙ Parámetros'!C19*(W16-'⚙ Parámetros'!B19))),'⚙ Parámetros'!G19/(1+2^(-'⚙ Parámetros'!F19*(W16-'⚙ Parámetros'!E19))),1)*W16+35/100*MAX('⚙ Parámetros'!D19/(1+2^(-'⚙ Parámetros'!C19*(X16-'⚙ Parámetros'!B19))),'⚙ Parámetros'!G19/(1+2^(-'⚙ Parámetros'!F19*(X16-'⚙ Parámetros'!E19))),1)*X16)/(30/100*MAX('⚙ Parámetros'!D19/(1+2^(-'⚙ Parámetros'!C19*(V16-'⚙ Parámetros'!B19))),'⚙ Parámetros'!G19/(1+2^(-'⚙ Parámetros'!F19*(V16-'⚙ Parámetros'!E19))),1)+35/100*MAX('⚙ Parámetros'!D19/(1+2^(-'⚙ Parámetros'!C19*(W16-'⚙ Parámetros'!B19))),'⚙ Parámetros'!G19/(1+2^(-'⚙ Parámetros'!F19*(W16-'⚙ Parámetros'!E19))),1)+35/100*MAX('⚙ Parámetros'!D19/(1+2^(-'⚙ Parámetros'!C19*(X16-'⚙ Parámetros'!B19))),'⚙ Parámetros'!G19/(1+2^(-'⚙ Parámetros'!F19*(X16-'⚙ Parámetros'!E19))),1)),0)</f>
        <v>6.0427350427350435</v>
      </c>
      <c r="AG16" s="89">
        <f>IFERROR((35/100*MAX('⚙ Parámetros'!D20/(1+2^(-'⚙ Parámetros'!C20*(Y16-'⚙ Parámetros'!B20))),'⚙ Parámetros'!G20/(1+2^(-'⚙ Parámetros'!F20*(Y16-'⚙ Parámetros'!E20))),1)*Y16+35/100*MAX('⚙ Parámetros'!D20/(1+2^(-'⚙ Parámetros'!C20*(Z16-'⚙ Parámetros'!B20))),'⚙ Parámetros'!G20/(1+2^(-'⚙ Parámetros'!F20*(Z16-'⚙ Parámetros'!E20))),1)*Z16+30/100*MAX('⚙ Parámetros'!D20/(1+2^(-'⚙ Parámetros'!C20*(AA16-'⚙ Parámetros'!B20))),'⚙ Parámetros'!G20/(1+2^(-'⚙ Parámetros'!F20*(AA16-'⚙ Parámetros'!E20))),1)*AA16)/(35/100*MAX('⚙ Parámetros'!D20/(1+2^(-'⚙ Parámetros'!C20*(Y16-'⚙ Parámetros'!B20))),'⚙ Parámetros'!G20/(1+2^(-'⚙ Parámetros'!F20*(Y16-'⚙ Parámetros'!E20))),1)+35/100*MAX('⚙ Parámetros'!D20/(1+2^(-'⚙ Parámetros'!C20*(Z16-'⚙ Parámetros'!B20))),'⚙ Parámetros'!G20/(1+2^(-'⚙ Parámetros'!F20*(Z16-'⚙ Parámetros'!E20))),1)+30/100*MAX('⚙ Parámetros'!D20/(1+2^(-'⚙ Parámetros'!C20*(AA16-'⚙ Parámetros'!B20))),'⚙ Parámetros'!G20/(1+2^(-'⚙ Parámetros'!F20*(AA16-'⚙ Parámetros'!E20))),1)),0)</f>
        <v>5.9611650485436893</v>
      </c>
      <c r="AH16" s="90">
        <f>('⚙ Parámetros'!B5/100*AB16+'⚙ Parámetros'!B6/100*AC16+'⚙ Parámetros'!B7/100*AD16+'⚙ Parámetros'!B8/100*AE16+'⚙ Parámetros'!B9/100*AF16+'⚙ Parámetros'!B10/100*AG16)</f>
        <v>5.9036817592385571</v>
      </c>
      <c r="AI16" s="91">
        <f ca="1">MIN(1+MAX(0,TODAY()-DATE(2025,7,15))/365*'⚙ Parámetros'!B33,'⚙ Parámetros'!B34)</f>
        <v>1.1364383561643836</v>
      </c>
      <c r="AJ16" s="82">
        <f t="shared" ca="1" si="0"/>
        <v>6.7091703937867218</v>
      </c>
      <c r="AK16" s="92" t="str">
        <f ca="1">IF(AB16&gt;='⚙ Parámetros'!B23,"⚑ AUTO-PRIOR.(D1≥8)",IF(AJ16&gt;='⚙ Parámetros'!B23,"PRIORITARIO",IF(AJ16&gt;='⚙ Parámetros'!B24,"ALTA PRIORIDAD",IF(AJ16&gt;='⚙ Parámetros'!B25,"PRIORIDAD MEDIA",IF(AJ16&gt;='⚙ Parámetros'!B26,"BAJA PRIORIDAD","DESCARTAR")))))</f>
        <v>PRIORIDAD MEDIA</v>
      </c>
      <c r="AL16" s="69" t="str">
        <f t="shared" si="1"/>
        <v>—</v>
      </c>
      <c r="AM16" s="85">
        <v>30</v>
      </c>
      <c r="AN16" s="83" t="str">
        <f>IF(AM16="","—",IF(AM16&lt;'⚙ Parámetros'!B29,"🟢 Corto",IF(AM16&lt;'⚙ Parámetros'!B30,"🟡 Medio","🔴 Largo")))</f>
        <v>🟡 Medio</v>
      </c>
    </row>
    <row r="17" spans="1:40" ht="18.75" customHeight="1" x14ac:dyDescent="0.25">
      <c r="A17" s="69">
        <v>13</v>
      </c>
      <c r="B17" s="70" t="s">
        <v>162</v>
      </c>
      <c r="C17" s="4" t="s">
        <v>142</v>
      </c>
      <c r="D17" s="71" t="s">
        <v>163</v>
      </c>
      <c r="E17" s="72" t="s">
        <v>143</v>
      </c>
      <c r="F17" s="74">
        <v>8</v>
      </c>
      <c r="G17" s="73">
        <v>5</v>
      </c>
      <c r="H17" s="74">
        <v>1</v>
      </c>
      <c r="I17" s="74">
        <v>8</v>
      </c>
      <c r="J17" s="74">
        <v>1</v>
      </c>
      <c r="K17" s="74">
        <v>1</v>
      </c>
      <c r="L17" s="75">
        <v>8</v>
      </c>
      <c r="M17" s="73">
        <v>3</v>
      </c>
      <c r="N17" s="73">
        <v>7</v>
      </c>
      <c r="O17" s="74">
        <v>1</v>
      </c>
      <c r="P17" s="74">
        <v>1</v>
      </c>
      <c r="Q17" s="87">
        <v>8</v>
      </c>
      <c r="R17" s="73">
        <v>5</v>
      </c>
      <c r="S17" s="73">
        <v>5</v>
      </c>
      <c r="T17" s="73">
        <v>5</v>
      </c>
      <c r="U17" s="73">
        <v>5</v>
      </c>
      <c r="V17" s="73">
        <v>5</v>
      </c>
      <c r="W17" s="73">
        <v>6</v>
      </c>
      <c r="X17" s="73">
        <v>6</v>
      </c>
      <c r="Y17" s="73">
        <v>4</v>
      </c>
      <c r="Z17" s="74">
        <v>2</v>
      </c>
      <c r="AA17" s="79">
        <v>5</v>
      </c>
      <c r="AB17" s="80">
        <f>IFERROR((30/100*MAX('⚙ Parámetros'!D15/(1+2^(-'⚙ Parámetros'!C15*(F17-'⚙ Parámetros'!B15))),'⚙ Parámetros'!G15/(1+2^(-'⚙ Parámetros'!F15*(F17-'⚙ Parámetros'!E15))),1)*F17+30/100*MAX('⚙ Parámetros'!D15/(1+2^(-'⚙ Parámetros'!C15*(G17-'⚙ Parámetros'!B15))),'⚙ Parámetros'!G15/(1+2^(-'⚙ Parámetros'!F15*(G17-'⚙ Parámetros'!E15))),1)*G17+20/100*MAX('⚙ Parámetros'!D15/(1+2^(-'⚙ Parámetros'!C15*(H17-'⚙ Parámetros'!B15))),'⚙ Parámetros'!G15/(1+2^(-'⚙ Parámetros'!F15*(H17-'⚙ Parámetros'!E15))),1)*H17+20/100*MAX('⚙ Parámetros'!D15/(1+2^(-'⚙ Parámetros'!C15*(I17-'⚙ Parámetros'!B15))),'⚙ Parámetros'!G15/(1+2^(-'⚙ Parámetros'!F15*(I17-'⚙ Parámetros'!E15))),1)*I17)/(30/100*MAX('⚙ Parámetros'!D15/(1+2^(-'⚙ Parámetros'!C15*(F17-'⚙ Parámetros'!B15))),'⚙ Parámetros'!G15/(1+2^(-'⚙ Parámetros'!F15*(F17-'⚙ Parámetros'!E15))),1)+30/100*MAX('⚙ Parámetros'!D15/(1+2^(-'⚙ Parámetros'!C15*(G17-'⚙ Parámetros'!B15))),'⚙ Parámetros'!G15/(1+2^(-'⚙ Parámetros'!F15*(G17-'⚙ Parámetros'!E15))),1)+20/100*MAX('⚙ Parámetros'!D15/(1+2^(-'⚙ Parámetros'!C15*(H17-'⚙ Parámetros'!B15))),'⚙ Parámetros'!G15/(1+2^(-'⚙ Parámetros'!F15*(H17-'⚙ Parámetros'!E15))),1)+20/100*MAX('⚙ Parámetros'!D15/(1+2^(-'⚙ Parámetros'!C15*(I17-'⚙ Parámetros'!B15))),'⚙ Parámetros'!G15/(1+2^(-'⚙ Parámetros'!F15*(I17-'⚙ Parámetros'!E15))),1)),0)</f>
        <v>7.3364485981308407</v>
      </c>
      <c r="AC17" s="80">
        <f>IFERROR((35/100*MAX('⚙ Parámetros'!D16/(1+2^(-'⚙ Parámetros'!C16*(J17-'⚙ Parámetros'!B16))),'⚙ Parámetros'!G16/(1+2^(-'⚙ Parámetros'!F16*(J17-'⚙ Parámetros'!E16))),1)*J17+25/100*MAX('⚙ Parámetros'!D16/(1+2^(-'⚙ Parámetros'!C16*(K17-'⚙ Parámetros'!B16))),'⚙ Parámetros'!G16/(1+2^(-'⚙ Parámetros'!F16*(K17-'⚙ Parámetros'!E16))),1)*K17+20/100*MAX('⚙ Parámetros'!D16/(1+2^(-'⚙ Parámetros'!C16*(L17-'⚙ Parámetros'!B16))),'⚙ Parámetros'!G16/(1+2^(-'⚙ Parámetros'!F16*(L17-'⚙ Parámetros'!E16))),1)*L17+20/100*MAX('⚙ Parámetros'!D16/(1+2^(-'⚙ Parámetros'!C16*(M17-'⚙ Parámetros'!B16))),'⚙ Parámetros'!G16/(1+2^(-'⚙ Parámetros'!F16*(M17-'⚙ Parámetros'!E16))),1)*M17)/(35/100*MAX('⚙ Parámetros'!D16/(1+2^(-'⚙ Parámetros'!C16*(J17-'⚙ Parámetros'!B16))),'⚙ Parámetros'!G16/(1+2^(-'⚙ Parámetros'!F16*(J17-'⚙ Parámetros'!E16))),1)+25/100*MAX('⚙ Parámetros'!D16/(1+2^(-'⚙ Parámetros'!C16*(K17-'⚙ Parámetros'!B16))),'⚙ Parámetros'!G16/(1+2^(-'⚙ Parámetros'!F16*(K17-'⚙ Parámetros'!E16))),1)+20/100*MAX('⚙ Parámetros'!D16/(1+2^(-'⚙ Parámetros'!C16*(L17-'⚙ Parámetros'!B16))),'⚙ Parámetros'!G16/(1+2^(-'⚙ Parámetros'!F16*(L17-'⚙ Parámetros'!E16))),1)+20/100*MAX('⚙ Parámetros'!D16/(1+2^(-'⚙ Parámetros'!C16*(M17-'⚙ Parámetros'!B16))),'⚙ Parámetros'!G16/(1+2^(-'⚙ Parámetros'!F16*(M17-'⚙ Parámetros'!E16))),1)),0)</f>
        <v>4.9411764705882355</v>
      </c>
      <c r="AD17" s="80">
        <f>IFERROR((30/100*MAX('⚙ Parámetros'!D17/(1+2^(-'⚙ Parámetros'!C17*(N17-'⚙ Parámetros'!B17))),'⚙ Parámetros'!G17/(1+2^(-'⚙ Parámetros'!F17*(N17-'⚙ Parámetros'!E17))),1)*N17+25/100*MAX('⚙ Parámetros'!D17/(1+2^(-'⚙ Parámetros'!C17*(O17-'⚙ Parámetros'!B17))),'⚙ Parámetros'!G17/(1+2^(-'⚙ Parámetros'!F17*(O17-'⚙ Parámetros'!E17))),1)*O17+25/100*MAX('⚙ Parámetros'!D17/(1+2^(-'⚙ Parámetros'!C17*(P17-'⚙ Parámetros'!B17))),'⚙ Parámetros'!G17/(1+2^(-'⚙ Parámetros'!F17*(P17-'⚙ Parámetros'!E17))),1)*P17+20/100*MAX('⚙ Parámetros'!D17/(1+2^(-'⚙ Parámetros'!C17*(Q17-'⚙ Parámetros'!B17))),'⚙ Parámetros'!G17/(1+2^(-'⚙ Parámetros'!F17*(Q17-'⚙ Parámetros'!E17))),1)*Q17)/(30/100*MAX('⚙ Parámetros'!D17/(1+2^(-'⚙ Parámetros'!C17*(N17-'⚙ Parámetros'!B17))),'⚙ Parámetros'!G17/(1+2^(-'⚙ Parámetros'!F17*(N17-'⚙ Parámetros'!E17))),1)+25/100*MAX('⚙ Parámetros'!D17/(1+2^(-'⚙ Parámetros'!C17*(O17-'⚙ Parámetros'!B17))),'⚙ Parámetros'!G17/(1+2^(-'⚙ Parámetros'!F17*(O17-'⚙ Parámetros'!E17))),1)+25/100*MAX('⚙ Parámetros'!D17/(1+2^(-'⚙ Parámetros'!C17*(P17-'⚙ Parámetros'!B17))),'⚙ Parámetros'!G17/(1+2^(-'⚙ Parámetros'!F17*(P17-'⚙ Parámetros'!E17))),1)+20/100*MAX('⚙ Parámetros'!D17/(1+2^(-'⚙ Parámetros'!C17*(Q17-'⚙ Parámetros'!B17))),'⚙ Parámetros'!G17/(1+2^(-'⚙ Parámetros'!F17*(Q17-'⚙ Parámetros'!E17))),1)),0)</f>
        <v>5.9523809523809534</v>
      </c>
      <c r="AE17" s="80">
        <f>IFERROR((30/100*MAX('⚙ Parámetros'!D18/(1+2^(-'⚙ Parámetros'!C18*(R17-'⚙ Parámetros'!B18))),'⚙ Parámetros'!G18/(1+2^(-'⚙ Parámetros'!F18*(R17-'⚙ Parámetros'!E18))),1)*R17+30/100*MAX('⚙ Parámetros'!D18/(1+2^(-'⚙ Parámetros'!C18*(S17-'⚙ Parámetros'!B18))),'⚙ Parámetros'!G18/(1+2^(-'⚙ Parámetros'!F18*(S17-'⚙ Parámetros'!E18))),1)*S17+20/100*MAX('⚙ Parámetros'!D18/(1+2^(-'⚙ Parámetros'!C18*(T17-'⚙ Parámetros'!B18))),'⚙ Parámetros'!G18/(1+2^(-'⚙ Parámetros'!F18*(T17-'⚙ Parámetros'!E18))),1)*T17+20/100*MAX('⚙ Parámetros'!D18/(1+2^(-'⚙ Parámetros'!C18*(U17-'⚙ Parámetros'!B18))),'⚙ Parámetros'!G18/(1+2^(-'⚙ Parámetros'!F18*(U17-'⚙ Parámetros'!E18))),1)*U17)/(30/100*MAX('⚙ Parámetros'!D18/(1+2^(-'⚙ Parámetros'!C18*(R17-'⚙ Parámetros'!B18))),'⚙ Parámetros'!G18/(1+2^(-'⚙ Parámetros'!F18*(R17-'⚙ Parámetros'!E18))),1)+30/100*MAX('⚙ Parámetros'!D18/(1+2^(-'⚙ Parámetros'!C18*(S17-'⚙ Parámetros'!B18))),'⚙ Parámetros'!G18/(1+2^(-'⚙ Parámetros'!F18*(S17-'⚙ Parámetros'!E18))),1)+20/100*MAX('⚙ Parámetros'!D18/(1+2^(-'⚙ Parámetros'!C18*(T17-'⚙ Parámetros'!B18))),'⚙ Parámetros'!G18/(1+2^(-'⚙ Parámetros'!F18*(T17-'⚙ Parámetros'!E18))),1)+20/100*MAX('⚙ Parámetros'!D18/(1+2^(-'⚙ Parámetros'!C18*(U17-'⚙ Parámetros'!B18))),'⚙ Parámetros'!G18/(1+2^(-'⚙ Parámetros'!F18*(U17-'⚙ Parámetros'!E18))),1)),0)</f>
        <v>5</v>
      </c>
      <c r="AF17" s="80">
        <f>IFERROR((30/100*MAX('⚙ Parámetros'!D19/(1+2^(-'⚙ Parámetros'!C19*(V17-'⚙ Parámetros'!B19))),'⚙ Parámetros'!G19/(1+2^(-'⚙ Parámetros'!F19*(V17-'⚙ Parámetros'!E19))),1)*V17+35/100*MAX('⚙ Parámetros'!D19/(1+2^(-'⚙ Parámetros'!C19*(W17-'⚙ Parámetros'!B19))),'⚙ Parámetros'!G19/(1+2^(-'⚙ Parámetros'!F19*(W17-'⚙ Parámetros'!E19))),1)*W17+35/100*MAX('⚙ Parámetros'!D19/(1+2^(-'⚙ Parámetros'!C19*(X17-'⚙ Parámetros'!B19))),'⚙ Parámetros'!G19/(1+2^(-'⚙ Parámetros'!F19*(X17-'⚙ Parámetros'!E19))),1)*X17)/(30/100*MAX('⚙ Parámetros'!D19/(1+2^(-'⚙ Parámetros'!C19*(V17-'⚙ Parámetros'!B19))),'⚙ Parámetros'!G19/(1+2^(-'⚙ Parámetros'!F19*(V17-'⚙ Parámetros'!E19))),1)+35/100*MAX('⚙ Parámetros'!D19/(1+2^(-'⚙ Parámetros'!C19*(W17-'⚙ Parámetros'!B19))),'⚙ Parámetros'!G19/(1+2^(-'⚙ Parámetros'!F19*(W17-'⚙ Parámetros'!E19))),1)+35/100*MAX('⚙ Parámetros'!D19/(1+2^(-'⚙ Parámetros'!C19*(X17-'⚙ Parámetros'!B19))),'⚙ Parámetros'!G19/(1+2^(-'⚙ Parámetros'!F19*(X17-'⚙ Parámetros'!E19))),1)),0)</f>
        <v>5.7368421052631575</v>
      </c>
      <c r="AG17" s="80">
        <f>IFERROR((35/100*MAX('⚙ Parámetros'!D20/(1+2^(-'⚙ Parámetros'!C20*(Y17-'⚙ Parámetros'!B20))),'⚙ Parámetros'!G20/(1+2^(-'⚙ Parámetros'!F20*(Y17-'⚙ Parámetros'!E20))),1)*Y17+35/100*MAX('⚙ Parámetros'!D20/(1+2^(-'⚙ Parámetros'!C20*(Z17-'⚙ Parámetros'!B20))),'⚙ Parámetros'!G20/(1+2^(-'⚙ Parámetros'!F20*(Z17-'⚙ Parámetros'!E20))),1)*Z17+30/100*MAX('⚙ Parámetros'!D20/(1+2^(-'⚙ Parámetros'!C20*(AA17-'⚙ Parámetros'!B20))),'⚙ Parámetros'!G20/(1+2^(-'⚙ Parámetros'!F20*(AA17-'⚙ Parámetros'!E20))),1)*AA17)/(35/100*MAX('⚙ Parámetros'!D20/(1+2^(-'⚙ Parámetros'!C20*(Y17-'⚙ Parámetros'!B20))),'⚙ Parámetros'!G20/(1+2^(-'⚙ Parámetros'!F20*(Y17-'⚙ Parámetros'!E20))),1)+35/100*MAX('⚙ Parámetros'!D20/(1+2^(-'⚙ Parámetros'!C20*(Z17-'⚙ Parámetros'!B20))),'⚙ Parámetros'!G20/(1+2^(-'⚙ Parámetros'!F20*(Z17-'⚙ Parámetros'!E20))),1)+30/100*MAX('⚙ Parámetros'!D20/(1+2^(-'⚙ Parámetros'!C20*(AA17-'⚙ Parámetros'!B20))),'⚙ Parámetros'!G20/(1+2^(-'⚙ Parámetros'!F20*(AA17-'⚙ Parámetros'!E20))),1)),0)</f>
        <v>3.7272727272727275</v>
      </c>
      <c r="AH17" s="81">
        <f>('⚙ Parámetros'!B5/100*AB17+'⚙ Parámetros'!B6/100*AC17+'⚙ Parámetros'!B7/100*AD17+'⚙ Parámetros'!B8/100*AE17+'⚙ Parámetros'!B9/100*AF17+'⚙ Parámetros'!B10/100*AG17)</f>
        <v>5.8515120927412232</v>
      </c>
      <c r="AI17" s="33">
        <f ca="1">MIN(1+MAX(0,TODAY()-DATE(2026,1,14))/365*'⚙ Parámetros'!B33,'⚙ Parámetros'!B34)</f>
        <v>1.0612328767123287</v>
      </c>
      <c r="AJ17" s="82">
        <f t="shared" ca="1" si="0"/>
        <v>6.2098170112967468</v>
      </c>
      <c r="AK17" s="83" t="str">
        <f ca="1">IF(AB17&gt;='⚙ Parámetros'!B23,"⚑ AUTO-PRIOR.(D1≥8)",IF(AJ17&gt;='⚙ Parámetros'!B23,"PRIORITARIO",IF(AJ17&gt;='⚙ Parámetros'!B24,"ALTA PRIORIDAD",IF(AJ17&gt;='⚙ Parámetros'!B25,"PRIORIDAD MEDIA",IF(AJ17&gt;='⚙ Parámetros'!B26,"BAJA PRIORIDAD","DESCARTAR")))))</f>
        <v>PRIORIDAD MEDIA</v>
      </c>
      <c r="AL17" s="84" t="str">
        <f t="shared" si="1"/>
        <v>—</v>
      </c>
      <c r="AM17" s="85">
        <v>38</v>
      </c>
      <c r="AN17" s="83" t="str">
        <f>IF(AM17="","—",IF(AM17&lt;'⚙ Parámetros'!B29,"🟢 Corto",IF(AM17&lt;'⚙ Parámetros'!B30,"🟡 Medio","🔴 Largo")))</f>
        <v>🟡 Medio</v>
      </c>
    </row>
    <row r="18" spans="1:40" ht="18.75" customHeight="1" x14ac:dyDescent="0.25">
      <c r="A18" s="69">
        <v>14</v>
      </c>
      <c r="B18" s="30" t="s">
        <v>164</v>
      </c>
      <c r="C18" s="26" t="s">
        <v>135</v>
      </c>
      <c r="D18" s="71" t="s">
        <v>139</v>
      </c>
      <c r="E18" s="72" t="s">
        <v>165</v>
      </c>
      <c r="F18" s="74">
        <v>8</v>
      </c>
      <c r="G18" s="74">
        <v>9</v>
      </c>
      <c r="H18" s="74">
        <v>1</v>
      </c>
      <c r="I18" s="74">
        <v>8</v>
      </c>
      <c r="J18" s="74">
        <v>1</v>
      </c>
      <c r="K18" s="74">
        <v>1</v>
      </c>
      <c r="L18" s="75">
        <v>8</v>
      </c>
      <c r="M18" s="86">
        <v>3</v>
      </c>
      <c r="N18" s="74">
        <v>1</v>
      </c>
      <c r="O18" s="74">
        <v>1</v>
      </c>
      <c r="P18" s="74">
        <v>1</v>
      </c>
      <c r="Q18" s="87">
        <v>8</v>
      </c>
      <c r="R18" s="86">
        <v>5</v>
      </c>
      <c r="S18" s="86">
        <v>5</v>
      </c>
      <c r="T18" s="86">
        <v>5</v>
      </c>
      <c r="U18" s="86">
        <v>5</v>
      </c>
      <c r="V18" s="86">
        <v>5</v>
      </c>
      <c r="W18" s="86">
        <v>6</v>
      </c>
      <c r="X18" s="86">
        <v>6</v>
      </c>
      <c r="Y18" s="86">
        <v>4</v>
      </c>
      <c r="Z18" s="74">
        <v>2</v>
      </c>
      <c r="AA18" s="93">
        <v>5</v>
      </c>
      <c r="AB18" s="89">
        <f>IFERROR((30/100*MAX('⚙ Parámetros'!D15/(1+2^(-'⚙ Parámetros'!C15*(F18-'⚙ Parámetros'!B15))),'⚙ Parámetros'!G15/(1+2^(-'⚙ Parámetros'!F15*(F18-'⚙ Parámetros'!E15))),1)*F18+30/100*MAX('⚙ Parámetros'!D15/(1+2^(-'⚙ Parámetros'!C15*(G18-'⚙ Parámetros'!B15))),'⚙ Parámetros'!G15/(1+2^(-'⚙ Parámetros'!F15*(G18-'⚙ Parámetros'!E15))),1)*G18+20/100*MAX('⚙ Parámetros'!D15/(1+2^(-'⚙ Parámetros'!C15*(H18-'⚙ Parámetros'!B15))),'⚙ Parámetros'!G15/(1+2^(-'⚙ Parámetros'!F15*(H18-'⚙ Parámetros'!E15))),1)*H18+20/100*MAX('⚙ Parámetros'!D15/(1+2^(-'⚙ Parámetros'!C15*(I18-'⚙ Parámetros'!B15))),'⚙ Parámetros'!G15/(1+2^(-'⚙ Parámetros'!F15*(I18-'⚙ Parámetros'!E15))),1)*I18)/(30/100*MAX('⚙ Parámetros'!D15/(1+2^(-'⚙ Parámetros'!C15*(F18-'⚙ Parámetros'!B15))),'⚙ Parámetros'!G15/(1+2^(-'⚙ Parámetros'!F15*(F18-'⚙ Parámetros'!E15))),1)+30/100*MAX('⚙ Parámetros'!D15/(1+2^(-'⚙ Parámetros'!C15*(G18-'⚙ Parámetros'!B15))),'⚙ Parámetros'!G15/(1+2^(-'⚙ Parámetros'!F15*(G18-'⚙ Parámetros'!E15))),1)+20/100*MAX('⚙ Parámetros'!D15/(1+2^(-'⚙ Parámetros'!C15*(H18-'⚙ Parámetros'!B15))),'⚙ Parámetros'!G15/(1+2^(-'⚙ Parámetros'!F15*(H18-'⚙ Parámetros'!E15))),1)+20/100*MAX('⚙ Parámetros'!D15/(1+2^(-'⚙ Parámetros'!C15*(I18-'⚙ Parámetros'!B15))),'⚙ Parámetros'!G15/(1+2^(-'⚙ Parámetros'!F15*(I18-'⚙ Parámetros'!E15))),1)),0)</f>
        <v>8.1799628942486091</v>
      </c>
      <c r="AC18" s="89">
        <f>IFERROR((35/100*MAX('⚙ Parámetros'!D16/(1+2^(-'⚙ Parámetros'!C16*(J18-'⚙ Parámetros'!B16))),'⚙ Parámetros'!G16/(1+2^(-'⚙ Parámetros'!F16*(J18-'⚙ Parámetros'!E16))),1)*J18+25/100*MAX('⚙ Parámetros'!D16/(1+2^(-'⚙ Parámetros'!C16*(K18-'⚙ Parámetros'!B16))),'⚙ Parámetros'!G16/(1+2^(-'⚙ Parámetros'!F16*(K18-'⚙ Parámetros'!E16))),1)*K18+20/100*MAX('⚙ Parámetros'!D16/(1+2^(-'⚙ Parámetros'!C16*(L18-'⚙ Parámetros'!B16))),'⚙ Parámetros'!G16/(1+2^(-'⚙ Parámetros'!F16*(L18-'⚙ Parámetros'!E16))),1)*L18+20/100*MAX('⚙ Parámetros'!D16/(1+2^(-'⚙ Parámetros'!C16*(M18-'⚙ Parámetros'!B16))),'⚙ Parámetros'!G16/(1+2^(-'⚙ Parámetros'!F16*(M18-'⚙ Parámetros'!E16))),1)*M18)/(35/100*MAX('⚙ Parámetros'!D16/(1+2^(-'⚙ Parámetros'!C16*(J18-'⚙ Parámetros'!B16))),'⚙ Parámetros'!G16/(1+2^(-'⚙ Parámetros'!F16*(J18-'⚙ Parámetros'!E16))),1)+25/100*MAX('⚙ Parámetros'!D16/(1+2^(-'⚙ Parámetros'!C16*(K18-'⚙ Parámetros'!B16))),'⚙ Parámetros'!G16/(1+2^(-'⚙ Parámetros'!F16*(K18-'⚙ Parámetros'!E16))),1)+20/100*MAX('⚙ Parámetros'!D16/(1+2^(-'⚙ Parámetros'!C16*(L18-'⚙ Parámetros'!B16))),'⚙ Parámetros'!G16/(1+2^(-'⚙ Parámetros'!F16*(L18-'⚙ Parámetros'!E16))),1)+20/100*MAX('⚙ Parámetros'!D16/(1+2^(-'⚙ Parámetros'!C16*(M18-'⚙ Parámetros'!B16))),'⚙ Parámetros'!G16/(1+2^(-'⚙ Parámetros'!F16*(M18-'⚙ Parámetros'!E16))),1)),0)</f>
        <v>4.9411764705882355</v>
      </c>
      <c r="AD18" s="89">
        <f>IFERROR((30/100*MAX('⚙ Parámetros'!D17/(1+2^(-'⚙ Parámetros'!C17*(N18-'⚙ Parámetros'!B17))),'⚙ Parámetros'!G17/(1+2^(-'⚙ Parámetros'!F17*(N18-'⚙ Parámetros'!E17))),1)*N18+25/100*MAX('⚙ Parámetros'!D17/(1+2^(-'⚙ Parámetros'!C17*(O18-'⚙ Parámetros'!B17))),'⚙ Parámetros'!G17/(1+2^(-'⚙ Parámetros'!F17*(O18-'⚙ Parámetros'!E17))),1)*O18+25/100*MAX('⚙ Parámetros'!D17/(1+2^(-'⚙ Parámetros'!C17*(P18-'⚙ Parámetros'!B17))),'⚙ Parámetros'!G17/(1+2^(-'⚙ Parámetros'!F17*(P18-'⚙ Parámetros'!E17))),1)*P18+20/100*MAX('⚙ Parámetros'!D17/(1+2^(-'⚙ Parámetros'!C17*(Q18-'⚙ Parámetros'!B17))),'⚙ Parámetros'!G17/(1+2^(-'⚙ Parámetros'!F17*(Q18-'⚙ Parámetros'!E17))),1)*Q18)/(30/100*MAX('⚙ Parámetros'!D17/(1+2^(-'⚙ Parámetros'!C17*(N18-'⚙ Parámetros'!B17))),'⚙ Parámetros'!G17/(1+2^(-'⚙ Parámetros'!F17*(N18-'⚙ Parámetros'!E17))),1)+25/100*MAX('⚙ Parámetros'!D17/(1+2^(-'⚙ Parámetros'!C17*(O18-'⚙ Parámetros'!B17))),'⚙ Parámetros'!G17/(1+2^(-'⚙ Parámetros'!F17*(O18-'⚙ Parámetros'!E17))),1)+25/100*MAX('⚙ Parámetros'!D17/(1+2^(-'⚙ Parámetros'!C17*(P18-'⚙ Parámetros'!B17))),'⚙ Parámetros'!G17/(1+2^(-'⚙ Parámetros'!F17*(P18-'⚙ Parámetros'!E17))),1)+20/100*MAX('⚙ Parámetros'!D17/(1+2^(-'⚙ Parámetros'!C17*(Q18-'⚙ Parámetros'!B17))),'⚙ Parámetros'!G17/(1+2^(-'⚙ Parámetros'!F17*(Q18-'⚙ Parámetros'!E17))),1)),0)</f>
        <v>4.5</v>
      </c>
      <c r="AE18" s="89">
        <f>IFERROR((30/100*MAX('⚙ Parámetros'!D18/(1+2^(-'⚙ Parámetros'!C18*(R18-'⚙ Parámetros'!B18))),'⚙ Parámetros'!G18/(1+2^(-'⚙ Parámetros'!F18*(R18-'⚙ Parámetros'!E18))),1)*R18+30/100*MAX('⚙ Parámetros'!D18/(1+2^(-'⚙ Parámetros'!C18*(S18-'⚙ Parámetros'!B18))),'⚙ Parámetros'!G18/(1+2^(-'⚙ Parámetros'!F18*(S18-'⚙ Parámetros'!E18))),1)*S18+20/100*MAX('⚙ Parámetros'!D18/(1+2^(-'⚙ Parámetros'!C18*(T18-'⚙ Parámetros'!B18))),'⚙ Parámetros'!G18/(1+2^(-'⚙ Parámetros'!F18*(T18-'⚙ Parámetros'!E18))),1)*T18+20/100*MAX('⚙ Parámetros'!D18/(1+2^(-'⚙ Parámetros'!C18*(U18-'⚙ Parámetros'!B18))),'⚙ Parámetros'!G18/(1+2^(-'⚙ Parámetros'!F18*(U18-'⚙ Parámetros'!E18))),1)*U18)/(30/100*MAX('⚙ Parámetros'!D18/(1+2^(-'⚙ Parámetros'!C18*(R18-'⚙ Parámetros'!B18))),'⚙ Parámetros'!G18/(1+2^(-'⚙ Parámetros'!F18*(R18-'⚙ Parámetros'!E18))),1)+30/100*MAX('⚙ Parámetros'!D18/(1+2^(-'⚙ Parámetros'!C18*(S18-'⚙ Parámetros'!B18))),'⚙ Parámetros'!G18/(1+2^(-'⚙ Parámetros'!F18*(S18-'⚙ Parámetros'!E18))),1)+20/100*MAX('⚙ Parámetros'!D18/(1+2^(-'⚙ Parámetros'!C18*(T18-'⚙ Parámetros'!B18))),'⚙ Parámetros'!G18/(1+2^(-'⚙ Parámetros'!F18*(T18-'⚙ Parámetros'!E18))),1)+20/100*MAX('⚙ Parámetros'!D18/(1+2^(-'⚙ Parámetros'!C18*(U18-'⚙ Parámetros'!B18))),'⚙ Parámetros'!G18/(1+2^(-'⚙ Parámetros'!F18*(U18-'⚙ Parámetros'!E18))),1)),0)</f>
        <v>5</v>
      </c>
      <c r="AF18" s="89">
        <f>IFERROR((30/100*MAX('⚙ Parámetros'!D19/(1+2^(-'⚙ Parámetros'!C19*(V18-'⚙ Parámetros'!B19))),'⚙ Parámetros'!G19/(1+2^(-'⚙ Parámetros'!F19*(V18-'⚙ Parámetros'!E19))),1)*V18+35/100*MAX('⚙ Parámetros'!D19/(1+2^(-'⚙ Parámetros'!C19*(W18-'⚙ Parámetros'!B19))),'⚙ Parámetros'!G19/(1+2^(-'⚙ Parámetros'!F19*(W18-'⚙ Parámetros'!E19))),1)*W18+35/100*MAX('⚙ Parámetros'!D19/(1+2^(-'⚙ Parámetros'!C19*(X18-'⚙ Parámetros'!B19))),'⚙ Parámetros'!G19/(1+2^(-'⚙ Parámetros'!F19*(X18-'⚙ Parámetros'!E19))),1)*X18)/(30/100*MAX('⚙ Parámetros'!D19/(1+2^(-'⚙ Parámetros'!C19*(V18-'⚙ Parámetros'!B19))),'⚙ Parámetros'!G19/(1+2^(-'⚙ Parámetros'!F19*(V18-'⚙ Parámetros'!E19))),1)+35/100*MAX('⚙ Parámetros'!D19/(1+2^(-'⚙ Parámetros'!C19*(W18-'⚙ Parámetros'!B19))),'⚙ Parámetros'!G19/(1+2^(-'⚙ Parámetros'!F19*(W18-'⚙ Parámetros'!E19))),1)+35/100*MAX('⚙ Parámetros'!D19/(1+2^(-'⚙ Parámetros'!C19*(X18-'⚙ Parámetros'!B19))),'⚙ Parámetros'!G19/(1+2^(-'⚙ Parámetros'!F19*(X18-'⚙ Parámetros'!E19))),1)),0)</f>
        <v>5.7368421052631575</v>
      </c>
      <c r="AG18" s="89">
        <f>IFERROR((35/100*MAX('⚙ Parámetros'!D20/(1+2^(-'⚙ Parámetros'!C20*(Y18-'⚙ Parámetros'!B20))),'⚙ Parámetros'!G20/(1+2^(-'⚙ Parámetros'!F20*(Y18-'⚙ Parámetros'!E20))),1)*Y18+35/100*MAX('⚙ Parámetros'!D20/(1+2^(-'⚙ Parámetros'!C20*(Z18-'⚙ Parámetros'!B20))),'⚙ Parámetros'!G20/(1+2^(-'⚙ Parámetros'!F20*(Z18-'⚙ Parámetros'!E20))),1)*Z18+30/100*MAX('⚙ Parámetros'!D20/(1+2^(-'⚙ Parámetros'!C20*(AA18-'⚙ Parámetros'!B20))),'⚙ Parámetros'!G20/(1+2^(-'⚙ Parámetros'!F20*(AA18-'⚙ Parámetros'!E20))),1)*AA18)/(35/100*MAX('⚙ Parámetros'!D20/(1+2^(-'⚙ Parámetros'!C20*(Y18-'⚙ Parámetros'!B20))),'⚙ Parámetros'!G20/(1+2^(-'⚙ Parámetros'!F20*(Y18-'⚙ Parámetros'!E20))),1)+35/100*MAX('⚙ Parámetros'!D20/(1+2^(-'⚙ Parámetros'!C20*(Z18-'⚙ Parámetros'!B20))),'⚙ Parámetros'!G20/(1+2^(-'⚙ Parámetros'!F20*(Z18-'⚙ Parámetros'!E20))),1)+30/100*MAX('⚙ Parámetros'!D20/(1+2^(-'⚙ Parámetros'!C20*(AA18-'⚙ Parámetros'!B20))),'⚙ Parámetros'!G20/(1+2^(-'⚙ Parámetros'!F20*(AA18-'⚙ Parámetros'!E20))),1)),0)</f>
        <v>3.7272727272727275</v>
      </c>
      <c r="AH18" s="90">
        <f>('⚙ Parámetros'!B5/100*AB18+'⚙ Parámetros'!B6/100*AC18+'⚙ Parámetros'!B7/100*AD18+'⚙ Parámetros'!B8/100*AE18+'⚙ Parámetros'!B9/100*AF18+'⚙ Parámetros'!B10/100*AG18)</f>
        <v>5.8140901911003633</v>
      </c>
      <c r="AI18" s="91">
        <f ca="1">MIN(1+MAX(0,TODAY()-DATE(2026,5,7))/365*'⚙ Parámetros'!B33,'⚙ Parámetros'!B34)</f>
        <v>1.0147945205479452</v>
      </c>
      <c r="AJ18" s="82">
        <f t="shared" ca="1" si="0"/>
        <v>5.9001068679002042</v>
      </c>
      <c r="AK18" s="92" t="str">
        <f ca="1">IF(AB18&gt;='⚙ Parámetros'!B23,"⚑ AUTO-PRIOR.(D1≥8)",IF(AJ18&gt;='⚙ Parámetros'!B23,"PRIORITARIO",IF(AJ18&gt;='⚙ Parámetros'!B24,"ALTA PRIORIDAD",IF(AJ18&gt;='⚙ Parámetros'!B25,"PRIORIDAD MEDIA",IF(AJ18&gt;='⚙ Parámetros'!B26,"BAJA PRIORIDAD","DESCARTAR")))))</f>
        <v>PRIORIDAD MEDIA</v>
      </c>
      <c r="AL18" s="29" t="str">
        <f t="shared" si="1"/>
        <v>SÍ ⚑</v>
      </c>
      <c r="AM18" s="85">
        <v>41</v>
      </c>
      <c r="AN18" s="83" t="str">
        <f>IF(AM18="","—",IF(AM18&lt;'⚙ Parámetros'!B29,"🟢 Corto",IF(AM18&lt;'⚙ Parámetros'!B30,"🟡 Medio","🔴 Largo")))</f>
        <v>🟡 Medio</v>
      </c>
    </row>
    <row r="19" spans="1:40" ht="18.75" customHeight="1" x14ac:dyDescent="0.25">
      <c r="A19" s="69">
        <v>15</v>
      </c>
      <c r="B19" s="70" t="s">
        <v>166</v>
      </c>
      <c r="C19" s="4" t="s">
        <v>135</v>
      </c>
      <c r="D19" s="71" t="s">
        <v>167</v>
      </c>
      <c r="E19" s="72" t="s">
        <v>168</v>
      </c>
      <c r="F19" s="73">
        <v>6</v>
      </c>
      <c r="G19" s="73">
        <v>5</v>
      </c>
      <c r="H19" s="74">
        <v>1</v>
      </c>
      <c r="I19" s="73">
        <v>5</v>
      </c>
      <c r="J19" s="74">
        <v>1</v>
      </c>
      <c r="K19" s="74">
        <v>1</v>
      </c>
      <c r="L19" s="75">
        <v>8</v>
      </c>
      <c r="M19" s="73">
        <v>3</v>
      </c>
      <c r="N19" s="73">
        <v>7</v>
      </c>
      <c r="O19" s="73">
        <v>6</v>
      </c>
      <c r="P19" s="74">
        <v>1</v>
      </c>
      <c r="Q19" s="87">
        <v>8</v>
      </c>
      <c r="R19" s="76">
        <v>9</v>
      </c>
      <c r="S19" s="76">
        <v>9</v>
      </c>
      <c r="T19" s="73">
        <v>5</v>
      </c>
      <c r="U19" s="73">
        <v>5</v>
      </c>
      <c r="V19" s="77">
        <v>8</v>
      </c>
      <c r="W19" s="73">
        <v>6</v>
      </c>
      <c r="X19" s="77">
        <v>9</v>
      </c>
      <c r="Y19" s="73">
        <v>4</v>
      </c>
      <c r="Z19" s="74">
        <v>2</v>
      </c>
      <c r="AA19" s="79">
        <v>5</v>
      </c>
      <c r="AB19" s="80">
        <f>IFERROR((30/100*MAX('⚙ Parámetros'!D15/(1+2^(-'⚙ Parámetros'!C15*(F19-'⚙ Parámetros'!B15))),'⚙ Parámetros'!G15/(1+2^(-'⚙ Parámetros'!F15*(F19-'⚙ Parámetros'!E15))),1)*F19+30/100*MAX('⚙ Parámetros'!D15/(1+2^(-'⚙ Parámetros'!C15*(G19-'⚙ Parámetros'!B15))),'⚙ Parámetros'!G15/(1+2^(-'⚙ Parámetros'!F15*(G19-'⚙ Parámetros'!E15))),1)*G19+20/100*MAX('⚙ Parámetros'!D15/(1+2^(-'⚙ Parámetros'!C15*(H19-'⚙ Parámetros'!B15))),'⚙ Parámetros'!G15/(1+2^(-'⚙ Parámetros'!F15*(H19-'⚙ Parámetros'!E15))),1)*H19+20/100*MAX('⚙ Parámetros'!D15/(1+2^(-'⚙ Parámetros'!C15*(I19-'⚙ Parámetros'!B15))),'⚙ Parámetros'!G15/(1+2^(-'⚙ Parámetros'!F15*(I19-'⚙ Parámetros'!E15))),1)*I19)/(30/100*MAX('⚙ Parámetros'!D15/(1+2^(-'⚙ Parámetros'!C15*(F19-'⚙ Parámetros'!B15))),'⚙ Parámetros'!G15/(1+2^(-'⚙ Parámetros'!F15*(F19-'⚙ Parámetros'!E15))),1)+30/100*MAX('⚙ Parámetros'!D15/(1+2^(-'⚙ Parámetros'!C15*(G19-'⚙ Parámetros'!B15))),'⚙ Parámetros'!G15/(1+2^(-'⚙ Parámetros'!F15*(G19-'⚙ Parámetros'!E15))),1)+20/100*MAX('⚙ Parámetros'!D15/(1+2^(-'⚙ Parámetros'!C15*(H19-'⚙ Parámetros'!B15))),'⚙ Parámetros'!G15/(1+2^(-'⚙ Parámetros'!F15*(H19-'⚙ Parámetros'!E15))),1)+20/100*MAX('⚙ Parámetros'!D15/(1+2^(-'⚙ Parámetros'!C15*(I19-'⚙ Parámetros'!B15))),'⚙ Parámetros'!G15/(1+2^(-'⚙ Parámetros'!F15*(I19-'⚙ Parámetros'!E15))),1)),0)</f>
        <v>4.8311688311688314</v>
      </c>
      <c r="AC19" s="80">
        <f>IFERROR((35/100*MAX('⚙ Parámetros'!D16/(1+2^(-'⚙ Parámetros'!C16*(J19-'⚙ Parámetros'!B16))),'⚙ Parámetros'!G16/(1+2^(-'⚙ Parámetros'!F16*(J19-'⚙ Parámetros'!E16))),1)*J19+25/100*MAX('⚙ Parámetros'!D16/(1+2^(-'⚙ Parámetros'!C16*(K19-'⚙ Parámetros'!B16))),'⚙ Parámetros'!G16/(1+2^(-'⚙ Parámetros'!F16*(K19-'⚙ Parámetros'!E16))),1)*K19+20/100*MAX('⚙ Parámetros'!D16/(1+2^(-'⚙ Parámetros'!C16*(L19-'⚙ Parámetros'!B16))),'⚙ Parámetros'!G16/(1+2^(-'⚙ Parámetros'!F16*(L19-'⚙ Parámetros'!E16))),1)*L19+20/100*MAX('⚙ Parámetros'!D16/(1+2^(-'⚙ Parámetros'!C16*(M19-'⚙ Parámetros'!B16))),'⚙ Parámetros'!G16/(1+2^(-'⚙ Parámetros'!F16*(M19-'⚙ Parámetros'!E16))),1)*M19)/(35/100*MAX('⚙ Parámetros'!D16/(1+2^(-'⚙ Parámetros'!C16*(J19-'⚙ Parámetros'!B16))),'⚙ Parámetros'!G16/(1+2^(-'⚙ Parámetros'!F16*(J19-'⚙ Parámetros'!E16))),1)+25/100*MAX('⚙ Parámetros'!D16/(1+2^(-'⚙ Parámetros'!C16*(K19-'⚙ Parámetros'!B16))),'⚙ Parámetros'!G16/(1+2^(-'⚙ Parámetros'!F16*(K19-'⚙ Parámetros'!E16))),1)+20/100*MAX('⚙ Parámetros'!D16/(1+2^(-'⚙ Parámetros'!C16*(L19-'⚙ Parámetros'!B16))),'⚙ Parámetros'!G16/(1+2^(-'⚙ Parámetros'!F16*(L19-'⚙ Parámetros'!E16))),1)+20/100*MAX('⚙ Parámetros'!D16/(1+2^(-'⚙ Parámetros'!C16*(M19-'⚙ Parámetros'!B16))),'⚙ Parámetros'!G16/(1+2^(-'⚙ Parámetros'!F16*(M19-'⚙ Parámetros'!E16))),1)),0)</f>
        <v>4.9411764705882355</v>
      </c>
      <c r="AD19" s="80">
        <f>IFERROR((30/100*MAX('⚙ Parámetros'!D17/(1+2^(-'⚙ Parámetros'!C17*(N19-'⚙ Parámetros'!B17))),'⚙ Parámetros'!G17/(1+2^(-'⚙ Parámetros'!F17*(N19-'⚙ Parámetros'!E17))),1)*N19+25/100*MAX('⚙ Parámetros'!D17/(1+2^(-'⚙ Parámetros'!C17*(O19-'⚙ Parámetros'!B17))),'⚙ Parámetros'!G17/(1+2^(-'⚙ Parámetros'!F17*(O19-'⚙ Parámetros'!E17))),1)*O19+25/100*MAX('⚙ Parámetros'!D17/(1+2^(-'⚙ Parámetros'!C17*(P19-'⚙ Parámetros'!B17))),'⚙ Parámetros'!G17/(1+2^(-'⚙ Parámetros'!F17*(P19-'⚙ Parámetros'!E17))),1)*P19+20/100*MAX('⚙ Parámetros'!D17/(1+2^(-'⚙ Parámetros'!C17*(Q19-'⚙ Parámetros'!B17))),'⚙ Parámetros'!G17/(1+2^(-'⚙ Parámetros'!F17*(Q19-'⚙ Parámetros'!E17))),1)*Q19)/(30/100*MAX('⚙ Parámetros'!D17/(1+2^(-'⚙ Parámetros'!C17*(N19-'⚙ Parámetros'!B17))),'⚙ Parámetros'!G17/(1+2^(-'⚙ Parámetros'!F17*(N19-'⚙ Parámetros'!E17))),1)+25/100*MAX('⚙ Parámetros'!D17/(1+2^(-'⚙ Parámetros'!C17*(O19-'⚙ Parámetros'!B17))),'⚙ Parámetros'!G17/(1+2^(-'⚙ Parámetros'!F17*(O19-'⚙ Parámetros'!E17))),1)+25/100*MAX('⚙ Parámetros'!D17/(1+2^(-'⚙ Parámetros'!C17*(P19-'⚙ Parámetros'!B17))),'⚙ Parámetros'!G17/(1+2^(-'⚙ Parámetros'!F17*(P19-'⚙ Parámetros'!E17))),1)+20/100*MAX('⚙ Parámetros'!D17/(1+2^(-'⚙ Parámetros'!C17*(Q19-'⚙ Parámetros'!B17))),'⚙ Parámetros'!G17/(1+2^(-'⚙ Parámetros'!F17*(Q19-'⚙ Parámetros'!E17))),1)),0)</f>
        <v>6.4693877551020398</v>
      </c>
      <c r="AE19" s="80">
        <f>IFERROR((30/100*MAX('⚙ Parámetros'!D18/(1+2^(-'⚙ Parámetros'!C18*(R19-'⚙ Parámetros'!B18))),'⚙ Parámetros'!G18/(1+2^(-'⚙ Parámetros'!F18*(R19-'⚙ Parámetros'!E18))),1)*R19+30/100*MAX('⚙ Parámetros'!D18/(1+2^(-'⚙ Parámetros'!C18*(S19-'⚙ Parámetros'!B18))),'⚙ Parámetros'!G18/(1+2^(-'⚙ Parámetros'!F18*(S19-'⚙ Parámetros'!E18))),1)*S19+20/100*MAX('⚙ Parámetros'!D18/(1+2^(-'⚙ Parámetros'!C18*(T19-'⚙ Parámetros'!B18))),'⚙ Parámetros'!G18/(1+2^(-'⚙ Parámetros'!F18*(T19-'⚙ Parámetros'!E18))),1)*T19+20/100*MAX('⚙ Parámetros'!D18/(1+2^(-'⚙ Parámetros'!C18*(U19-'⚙ Parámetros'!B18))),'⚙ Parámetros'!G18/(1+2^(-'⚙ Parámetros'!F18*(U19-'⚙ Parámetros'!E18))),1)*U19)/(30/100*MAX('⚙ Parámetros'!D18/(1+2^(-'⚙ Parámetros'!C18*(R19-'⚙ Parámetros'!B18))),'⚙ Parámetros'!G18/(1+2^(-'⚙ Parámetros'!F18*(R19-'⚙ Parámetros'!E18))),1)+30/100*MAX('⚙ Parámetros'!D18/(1+2^(-'⚙ Parámetros'!C18*(S19-'⚙ Parámetros'!B18))),'⚙ Parámetros'!G18/(1+2^(-'⚙ Parámetros'!F18*(S19-'⚙ Parámetros'!E18))),1)+20/100*MAX('⚙ Parámetros'!D18/(1+2^(-'⚙ Parámetros'!C18*(T19-'⚙ Parámetros'!B18))),'⚙ Parámetros'!G18/(1+2^(-'⚙ Parámetros'!F18*(T19-'⚙ Parámetros'!E18))),1)+20/100*MAX('⚙ Parámetros'!D18/(1+2^(-'⚙ Parámetros'!C18*(U19-'⚙ Parámetros'!B18))),'⚙ Parámetros'!G18/(1+2^(-'⚙ Parámetros'!F18*(U19-'⚙ Parámetros'!E18))),1)),0)</f>
        <v>8.1801060365339655</v>
      </c>
      <c r="AF19" s="80">
        <f>IFERROR((30/100*MAX('⚙ Parámetros'!D19/(1+2^(-'⚙ Parámetros'!C19*(V19-'⚙ Parámetros'!B19))),'⚙ Parámetros'!G19/(1+2^(-'⚙ Parámetros'!F19*(V19-'⚙ Parámetros'!E19))),1)*V19+35/100*MAX('⚙ Parámetros'!D19/(1+2^(-'⚙ Parámetros'!C19*(W19-'⚙ Parámetros'!B19))),'⚙ Parámetros'!G19/(1+2^(-'⚙ Parámetros'!F19*(W19-'⚙ Parámetros'!E19))),1)*W19+35/100*MAX('⚙ Parámetros'!D19/(1+2^(-'⚙ Parámetros'!C19*(X19-'⚙ Parámetros'!B19))),'⚙ Parámetros'!G19/(1+2^(-'⚙ Parámetros'!F19*(X19-'⚙ Parámetros'!E19))),1)*X19)/(30/100*MAX('⚙ Parámetros'!D19/(1+2^(-'⚙ Parámetros'!C19*(V19-'⚙ Parámetros'!B19))),'⚙ Parámetros'!G19/(1+2^(-'⚙ Parámetros'!F19*(V19-'⚙ Parámetros'!E19))),1)+35/100*MAX('⚙ Parámetros'!D19/(1+2^(-'⚙ Parámetros'!C19*(W19-'⚙ Parámetros'!B19))),'⚙ Parámetros'!G19/(1+2^(-'⚙ Parámetros'!F19*(W19-'⚙ Parámetros'!E19))),1)+35/100*MAX('⚙ Parámetros'!D19/(1+2^(-'⚙ Parámetros'!C19*(X19-'⚙ Parámetros'!B19))),'⚙ Parámetros'!G19/(1+2^(-'⚙ Parámetros'!F19*(X19-'⚙ Parámetros'!E19))),1)),0)</f>
        <v>8.0351483057098907</v>
      </c>
      <c r="AG19" s="80">
        <f>IFERROR((35/100*MAX('⚙ Parámetros'!D20/(1+2^(-'⚙ Parámetros'!C20*(Y19-'⚙ Parámetros'!B20))),'⚙ Parámetros'!G20/(1+2^(-'⚙ Parámetros'!F20*(Y19-'⚙ Parámetros'!E20))),1)*Y19+35/100*MAX('⚙ Parámetros'!D20/(1+2^(-'⚙ Parámetros'!C20*(Z19-'⚙ Parámetros'!B20))),'⚙ Parámetros'!G20/(1+2^(-'⚙ Parámetros'!F20*(Z19-'⚙ Parámetros'!E20))),1)*Z19+30/100*MAX('⚙ Parámetros'!D20/(1+2^(-'⚙ Parámetros'!C20*(AA19-'⚙ Parámetros'!B20))),'⚙ Parámetros'!G20/(1+2^(-'⚙ Parámetros'!F20*(AA19-'⚙ Parámetros'!E20))),1)*AA19)/(35/100*MAX('⚙ Parámetros'!D20/(1+2^(-'⚙ Parámetros'!C20*(Y19-'⚙ Parámetros'!B20))),'⚙ Parámetros'!G20/(1+2^(-'⚙ Parámetros'!F20*(Y19-'⚙ Parámetros'!E20))),1)+35/100*MAX('⚙ Parámetros'!D20/(1+2^(-'⚙ Parámetros'!C20*(Z19-'⚙ Parámetros'!B20))),'⚙ Parámetros'!G20/(1+2^(-'⚙ Parámetros'!F20*(Z19-'⚙ Parámetros'!E20))),1)+30/100*MAX('⚙ Parámetros'!D20/(1+2^(-'⚙ Parámetros'!C20*(AA19-'⚙ Parámetros'!B20))),'⚙ Parámetros'!G20/(1+2^(-'⚙ Parámetros'!F20*(AA19-'⚙ Parámetros'!E20))),1)),0)</f>
        <v>3.7272727272727275</v>
      </c>
      <c r="AH19" s="81">
        <f>('⚙ Parámetros'!B5/100*AB19+'⚙ Parámetros'!B6/100*AC19+'⚙ Parámetros'!B7/100*AD19+'⚙ Parámetros'!B8/100*AE19+'⚙ Parámetros'!B9/100*AF19+'⚙ Parámetros'!B10/100*AG19)</f>
        <v>5.8147728676255879</v>
      </c>
      <c r="AI19" s="33">
        <f ca="1">MIN(1+MAX(0,TODAY()-DATE(2025,7,3))/365*'⚙ Parámetros'!B33,'⚙ Parámetros'!B34)</f>
        <v>1.1413698630136986</v>
      </c>
      <c r="AJ19" s="82">
        <f t="shared" ca="1" si="0"/>
        <v>6.6368065113775883</v>
      </c>
      <c r="AK19" s="83" t="str">
        <f ca="1">IF(AB19&gt;='⚙ Parámetros'!B23,"⚑ AUTO-PRIOR.(D1≥8)",IF(AJ19&gt;='⚙ Parámetros'!B23,"PRIORITARIO",IF(AJ19&gt;='⚙ Parámetros'!B24,"ALTA PRIORIDAD",IF(AJ19&gt;='⚙ Parámetros'!B25,"PRIORIDAD MEDIA",IF(AJ19&gt;='⚙ Parámetros'!B26,"BAJA PRIORIDAD","DESCARTAR")))))</f>
        <v>PRIORIDAD MEDIA</v>
      </c>
      <c r="AL19" s="84" t="str">
        <f t="shared" si="1"/>
        <v>—</v>
      </c>
      <c r="AM19" s="85">
        <v>32</v>
      </c>
      <c r="AN19" s="83" t="str">
        <f>IF(AM19="","—",IF(AM19&lt;'⚙ Parámetros'!B29,"🟢 Corto",IF(AM19&lt;'⚙ Parámetros'!B30,"🟡 Medio","🔴 Largo")))</f>
        <v>🟡 Medio</v>
      </c>
    </row>
    <row r="20" spans="1:40" ht="18.75" customHeight="1" x14ac:dyDescent="0.25">
      <c r="A20" s="69">
        <v>16</v>
      </c>
      <c r="B20" s="30" t="s">
        <v>169</v>
      </c>
      <c r="C20" s="26" t="s">
        <v>131</v>
      </c>
      <c r="D20" s="71" t="s">
        <v>167</v>
      </c>
      <c r="E20" s="72" t="s">
        <v>170</v>
      </c>
      <c r="F20" s="74">
        <v>9</v>
      </c>
      <c r="G20" s="74">
        <v>1</v>
      </c>
      <c r="H20" s="74">
        <v>1</v>
      </c>
      <c r="I20" s="74">
        <v>9</v>
      </c>
      <c r="J20" s="86">
        <v>7</v>
      </c>
      <c r="K20" s="74">
        <v>1</v>
      </c>
      <c r="L20" s="75">
        <v>8</v>
      </c>
      <c r="M20" s="86">
        <v>3</v>
      </c>
      <c r="N20" s="74">
        <v>1</v>
      </c>
      <c r="O20" s="86">
        <v>6</v>
      </c>
      <c r="P20" s="74">
        <v>1</v>
      </c>
      <c r="Q20" s="74">
        <v>1</v>
      </c>
      <c r="R20" s="86">
        <v>5</v>
      </c>
      <c r="S20" s="86">
        <v>5</v>
      </c>
      <c r="T20" s="86">
        <v>5</v>
      </c>
      <c r="U20" s="86">
        <v>5</v>
      </c>
      <c r="V20" s="86">
        <v>5</v>
      </c>
      <c r="W20" s="86">
        <v>6</v>
      </c>
      <c r="X20" s="86">
        <v>3</v>
      </c>
      <c r="Y20" s="86">
        <v>4</v>
      </c>
      <c r="Z20" s="74">
        <v>2</v>
      </c>
      <c r="AA20" s="93">
        <v>5</v>
      </c>
      <c r="AB20" s="89">
        <f>IFERROR((30/100*MAX('⚙ Parámetros'!D15/(1+2^(-'⚙ Parámetros'!C15*(F20-'⚙ Parámetros'!B15))),'⚙ Parámetros'!G15/(1+2^(-'⚙ Parámetros'!F15*(F20-'⚙ Parámetros'!E15))),1)*F20+30/100*MAX('⚙ Parámetros'!D15/(1+2^(-'⚙ Parámetros'!C15*(G20-'⚙ Parámetros'!B15))),'⚙ Parámetros'!G15/(1+2^(-'⚙ Parámetros'!F15*(G20-'⚙ Parámetros'!E15))),1)*G20+20/100*MAX('⚙ Parámetros'!D15/(1+2^(-'⚙ Parámetros'!C15*(H20-'⚙ Parámetros'!B15))),'⚙ Parámetros'!G15/(1+2^(-'⚙ Parámetros'!F15*(H20-'⚙ Parámetros'!E15))),1)*H20+20/100*MAX('⚙ Parámetros'!D15/(1+2^(-'⚙ Parámetros'!C15*(I20-'⚙ Parámetros'!B15))),'⚙ Parámetros'!G15/(1+2^(-'⚙ Parámetros'!F15*(I20-'⚙ Parámetros'!E15))),1)*I20)/(30/100*MAX('⚙ Parámetros'!D15/(1+2^(-'⚙ Parámetros'!C15*(F20-'⚙ Parámetros'!B15))),'⚙ Parámetros'!G15/(1+2^(-'⚙ Parámetros'!F15*(F20-'⚙ Parámetros'!E15))),1)+30/100*MAX('⚙ Parámetros'!D15/(1+2^(-'⚙ Parámetros'!C15*(G20-'⚙ Parámetros'!B15))),'⚙ Parámetros'!G15/(1+2^(-'⚙ Parámetros'!F15*(G20-'⚙ Parámetros'!E15))),1)+20/100*MAX('⚙ Parámetros'!D15/(1+2^(-'⚙ Parámetros'!C15*(H20-'⚙ Parámetros'!B15))),'⚙ Parámetros'!G15/(1+2^(-'⚙ Parámetros'!F15*(H20-'⚙ Parámetros'!E15))),1)+20/100*MAX('⚙ Parámetros'!D15/(1+2^(-'⚙ Parámetros'!C15*(I20-'⚙ Parámetros'!B15))),'⚙ Parámetros'!G15/(1+2^(-'⚙ Parámetros'!F15*(I20-'⚙ Parámetros'!E15))),1)),0)</f>
        <v>8.1552795031055894</v>
      </c>
      <c r="AC20" s="89">
        <f>IFERROR((35/100*MAX('⚙ Parámetros'!D16/(1+2^(-'⚙ Parámetros'!C16*(J20-'⚙ Parámetros'!B16))),'⚙ Parámetros'!G16/(1+2^(-'⚙ Parámetros'!F16*(J20-'⚙ Parámetros'!E16))),1)*J20+25/100*MAX('⚙ Parámetros'!D16/(1+2^(-'⚙ Parámetros'!C16*(K20-'⚙ Parámetros'!B16))),'⚙ Parámetros'!G16/(1+2^(-'⚙ Parámetros'!F16*(K20-'⚙ Parámetros'!E16))),1)*K20+20/100*MAX('⚙ Parámetros'!D16/(1+2^(-'⚙ Parámetros'!C16*(L20-'⚙ Parámetros'!B16))),'⚙ Parámetros'!G16/(1+2^(-'⚙ Parámetros'!F16*(L20-'⚙ Parámetros'!E16))),1)*L20+20/100*MAX('⚙ Parámetros'!D16/(1+2^(-'⚙ Parámetros'!C16*(M20-'⚙ Parámetros'!B16))),'⚙ Parámetros'!G16/(1+2^(-'⚙ Parámetros'!F16*(M20-'⚙ Parámetros'!E16))),1)*M20)/(35/100*MAX('⚙ Parámetros'!D16/(1+2^(-'⚙ Parámetros'!C16*(J20-'⚙ Parámetros'!B16))),'⚙ Parámetros'!G16/(1+2^(-'⚙ Parámetros'!F16*(J20-'⚙ Parámetros'!E16))),1)+25/100*MAX('⚙ Parámetros'!D16/(1+2^(-'⚙ Parámetros'!C16*(K20-'⚙ Parámetros'!B16))),'⚙ Parámetros'!G16/(1+2^(-'⚙ Parámetros'!F16*(K20-'⚙ Parámetros'!E16))),1)+20/100*MAX('⚙ Parámetros'!D16/(1+2^(-'⚙ Parámetros'!C16*(L20-'⚙ Parámetros'!B16))),'⚙ Parámetros'!G16/(1+2^(-'⚙ Parámetros'!F16*(L20-'⚙ Parámetros'!E16))),1)+20/100*MAX('⚙ Parámetros'!D16/(1+2^(-'⚙ Parámetros'!C16*(M20-'⚙ Parámetros'!B16))),'⚙ Parámetros'!G16/(1+2^(-'⚙ Parámetros'!F16*(M20-'⚙ Parámetros'!E16))),1)),0)</f>
        <v>6.3868613138686126</v>
      </c>
      <c r="AD20" s="89">
        <f>IFERROR((30/100*MAX('⚙ Parámetros'!D17/(1+2^(-'⚙ Parámetros'!C17*(N20-'⚙ Parámetros'!B17))),'⚙ Parámetros'!G17/(1+2^(-'⚙ Parámetros'!F17*(N20-'⚙ Parámetros'!E17))),1)*N20+25/100*MAX('⚙ Parámetros'!D17/(1+2^(-'⚙ Parámetros'!C17*(O20-'⚙ Parámetros'!B17))),'⚙ Parámetros'!G17/(1+2^(-'⚙ Parámetros'!F17*(O20-'⚙ Parámetros'!E17))),1)*O20+25/100*MAX('⚙ Parámetros'!D17/(1+2^(-'⚙ Parámetros'!C17*(P20-'⚙ Parámetros'!B17))),'⚙ Parámetros'!G17/(1+2^(-'⚙ Parámetros'!F17*(P20-'⚙ Parámetros'!E17))),1)*P20+20/100*MAX('⚙ Parámetros'!D17/(1+2^(-'⚙ Parámetros'!C17*(Q20-'⚙ Parámetros'!B17))),'⚙ Parámetros'!G17/(1+2^(-'⚙ Parámetros'!F17*(Q20-'⚙ Parámetros'!E17))),1)*Q20)/(30/100*MAX('⚙ Parámetros'!D17/(1+2^(-'⚙ Parámetros'!C17*(N20-'⚙ Parámetros'!B17))),'⚙ Parámetros'!G17/(1+2^(-'⚙ Parámetros'!F17*(N20-'⚙ Parámetros'!E17))),1)+25/100*MAX('⚙ Parámetros'!D17/(1+2^(-'⚙ Parámetros'!C17*(O20-'⚙ Parámetros'!B17))),'⚙ Parámetros'!G17/(1+2^(-'⚙ Parámetros'!F17*(O20-'⚙ Parámetros'!E17))),1)+25/100*MAX('⚙ Parámetros'!D17/(1+2^(-'⚙ Parámetros'!C17*(P20-'⚙ Parámetros'!B17))),'⚙ Parámetros'!G17/(1+2^(-'⚙ Parámetros'!F17*(P20-'⚙ Parámetros'!E17))),1)+20/100*MAX('⚙ Parámetros'!D17/(1+2^(-'⚙ Parámetros'!C17*(Q20-'⚙ Parámetros'!B17))),'⚙ Parámetros'!G17/(1+2^(-'⚙ Parámetros'!F17*(Q20-'⚙ Parámetros'!E17))),1)),0)</f>
        <v>3.2222222222222223</v>
      </c>
      <c r="AE20" s="89">
        <f>IFERROR((30/100*MAX('⚙ Parámetros'!D18/(1+2^(-'⚙ Parámetros'!C18*(R20-'⚙ Parámetros'!B18))),'⚙ Parámetros'!G18/(1+2^(-'⚙ Parámetros'!F18*(R20-'⚙ Parámetros'!E18))),1)*R20+30/100*MAX('⚙ Parámetros'!D18/(1+2^(-'⚙ Parámetros'!C18*(S20-'⚙ Parámetros'!B18))),'⚙ Parámetros'!G18/(1+2^(-'⚙ Parámetros'!F18*(S20-'⚙ Parámetros'!E18))),1)*S20+20/100*MAX('⚙ Parámetros'!D18/(1+2^(-'⚙ Parámetros'!C18*(T20-'⚙ Parámetros'!B18))),'⚙ Parámetros'!G18/(1+2^(-'⚙ Parámetros'!F18*(T20-'⚙ Parámetros'!E18))),1)*T20+20/100*MAX('⚙ Parámetros'!D18/(1+2^(-'⚙ Parámetros'!C18*(U20-'⚙ Parámetros'!B18))),'⚙ Parámetros'!G18/(1+2^(-'⚙ Parámetros'!F18*(U20-'⚙ Parámetros'!E18))),1)*U20)/(30/100*MAX('⚙ Parámetros'!D18/(1+2^(-'⚙ Parámetros'!C18*(R20-'⚙ Parámetros'!B18))),'⚙ Parámetros'!G18/(1+2^(-'⚙ Parámetros'!F18*(R20-'⚙ Parámetros'!E18))),1)+30/100*MAX('⚙ Parámetros'!D18/(1+2^(-'⚙ Parámetros'!C18*(S20-'⚙ Parámetros'!B18))),'⚙ Parámetros'!G18/(1+2^(-'⚙ Parámetros'!F18*(S20-'⚙ Parámetros'!E18))),1)+20/100*MAX('⚙ Parámetros'!D18/(1+2^(-'⚙ Parámetros'!C18*(T20-'⚙ Parámetros'!B18))),'⚙ Parámetros'!G18/(1+2^(-'⚙ Parámetros'!F18*(T20-'⚙ Parámetros'!E18))),1)+20/100*MAX('⚙ Parámetros'!D18/(1+2^(-'⚙ Parámetros'!C18*(U20-'⚙ Parámetros'!B18))),'⚙ Parámetros'!G18/(1+2^(-'⚙ Parámetros'!F18*(U20-'⚙ Parámetros'!E18))),1)),0)</f>
        <v>5</v>
      </c>
      <c r="AF20" s="89">
        <f>IFERROR((30/100*MAX('⚙ Parámetros'!D19/(1+2^(-'⚙ Parámetros'!C19*(V20-'⚙ Parámetros'!B19))),'⚙ Parámetros'!G19/(1+2^(-'⚙ Parámetros'!F19*(V20-'⚙ Parámetros'!E19))),1)*V20+35/100*MAX('⚙ Parámetros'!D19/(1+2^(-'⚙ Parámetros'!C19*(W20-'⚙ Parámetros'!B19))),'⚙ Parámetros'!G19/(1+2^(-'⚙ Parámetros'!F19*(W20-'⚙ Parámetros'!E19))),1)*W20+35/100*MAX('⚙ Parámetros'!D19/(1+2^(-'⚙ Parámetros'!C19*(X20-'⚙ Parámetros'!B19))),'⚙ Parámetros'!G19/(1+2^(-'⚙ Parámetros'!F19*(X20-'⚙ Parámetros'!E19))),1)*X20)/(30/100*MAX('⚙ Parámetros'!D19/(1+2^(-'⚙ Parámetros'!C19*(V20-'⚙ Parámetros'!B19))),'⚙ Parámetros'!G19/(1+2^(-'⚙ Parámetros'!F19*(V20-'⚙ Parámetros'!E19))),1)+35/100*MAX('⚙ Parámetros'!D19/(1+2^(-'⚙ Parámetros'!C19*(W20-'⚙ Parámetros'!B19))),'⚙ Parámetros'!G19/(1+2^(-'⚙ Parámetros'!F19*(W20-'⚙ Parámetros'!E19))),1)+35/100*MAX('⚙ Parámetros'!D19/(1+2^(-'⚙ Parámetros'!C19*(X20-'⚙ Parámetros'!B19))),'⚙ Parámetros'!G19/(1+2^(-'⚙ Parámetros'!F19*(X20-'⚙ Parámetros'!E19))),1)),0)</f>
        <v>5.0782122905027931</v>
      </c>
      <c r="AG20" s="89">
        <f>IFERROR((35/100*MAX('⚙ Parámetros'!D20/(1+2^(-'⚙ Parámetros'!C20*(Y20-'⚙ Parámetros'!B20))),'⚙ Parámetros'!G20/(1+2^(-'⚙ Parámetros'!F20*(Y20-'⚙ Parámetros'!E20))),1)*Y20+35/100*MAX('⚙ Parámetros'!D20/(1+2^(-'⚙ Parámetros'!C20*(Z20-'⚙ Parámetros'!B20))),'⚙ Parámetros'!G20/(1+2^(-'⚙ Parámetros'!F20*(Z20-'⚙ Parámetros'!E20))),1)*Z20+30/100*MAX('⚙ Parámetros'!D20/(1+2^(-'⚙ Parámetros'!C20*(AA20-'⚙ Parámetros'!B20))),'⚙ Parámetros'!G20/(1+2^(-'⚙ Parámetros'!F20*(AA20-'⚙ Parámetros'!E20))),1)*AA20)/(35/100*MAX('⚙ Parámetros'!D20/(1+2^(-'⚙ Parámetros'!C20*(Y20-'⚙ Parámetros'!B20))),'⚙ Parámetros'!G20/(1+2^(-'⚙ Parámetros'!F20*(Y20-'⚙ Parámetros'!E20))),1)+35/100*MAX('⚙ Parámetros'!D20/(1+2^(-'⚙ Parámetros'!C20*(Z20-'⚙ Parámetros'!B20))),'⚙ Parámetros'!G20/(1+2^(-'⚙ Parámetros'!F20*(Z20-'⚙ Parámetros'!E20))),1)+30/100*MAX('⚙ Parámetros'!D20/(1+2^(-'⚙ Parámetros'!C20*(AA20-'⚙ Parámetros'!B20))),'⚙ Parámetros'!G20/(1+2^(-'⚙ Parámetros'!F20*(AA20-'⚙ Parámetros'!E20))),1)),0)</f>
        <v>3.7272727272727275</v>
      </c>
      <c r="AH20" s="90">
        <f>('⚙ Parámetros'!B5/100*AB20+'⚙ Parámetros'!B6/100*AC20+'⚙ Parámetros'!B7/100*AD20+'⚙ Parámetros'!B8/100*AE20+'⚙ Parámetros'!B9/100*AF20+'⚙ Parámetros'!B10/100*AG20)</f>
        <v>5.7744036053819405</v>
      </c>
      <c r="AI20" s="91">
        <f ca="1">MIN(1+MAX(0,TODAY()-DATE(2025,6,10))/365*'⚙ Parámetros'!B33,'⚙ Parámetros'!B34)</f>
        <v>1.1508219178082191</v>
      </c>
      <c r="AJ20" s="82">
        <f t="shared" ca="1" si="0"/>
        <v>6.6453102313443395</v>
      </c>
      <c r="AK20" s="92" t="str">
        <f ca="1">IF(AB20&gt;='⚙ Parámetros'!B23,"⚑ AUTO-PRIOR.(D1≥8)",IF(AJ20&gt;='⚙ Parámetros'!B23,"PRIORITARIO",IF(AJ20&gt;='⚙ Parámetros'!B24,"ALTA PRIORIDAD",IF(AJ20&gt;='⚙ Parámetros'!B25,"PRIORIDAD MEDIA",IF(AJ20&gt;='⚙ Parámetros'!B26,"BAJA PRIORIDAD","DESCARTAR")))))</f>
        <v>PRIORIDAD MEDIA</v>
      </c>
      <c r="AL20" s="29" t="str">
        <f t="shared" si="1"/>
        <v>SÍ ⚑</v>
      </c>
      <c r="AM20" s="85">
        <v>42</v>
      </c>
      <c r="AN20" s="83" t="str">
        <f>IF(AM20="","—",IF(AM20&lt;'⚙ Parámetros'!B29,"🟢 Corto",IF(AM20&lt;'⚙ Parámetros'!B30,"🟡 Medio","🔴 Largo")))</f>
        <v>🟡 Medio</v>
      </c>
    </row>
    <row r="21" spans="1:40" ht="18.75" customHeight="1" x14ac:dyDescent="0.25">
      <c r="A21" s="69">
        <v>17</v>
      </c>
      <c r="B21" s="70" t="s">
        <v>171</v>
      </c>
      <c r="C21" s="4" t="s">
        <v>131</v>
      </c>
      <c r="D21" s="71" t="s">
        <v>136</v>
      </c>
      <c r="E21" s="72" t="s">
        <v>172</v>
      </c>
      <c r="F21" s="74">
        <v>9</v>
      </c>
      <c r="G21" s="74">
        <v>1</v>
      </c>
      <c r="H21" s="73">
        <v>5</v>
      </c>
      <c r="I21" s="74">
        <v>9</v>
      </c>
      <c r="J21" s="74">
        <v>1</v>
      </c>
      <c r="K21" s="74">
        <v>1</v>
      </c>
      <c r="L21" s="75">
        <v>8</v>
      </c>
      <c r="M21" s="73">
        <v>3</v>
      </c>
      <c r="N21" s="74">
        <v>1</v>
      </c>
      <c r="O21" s="74">
        <v>1</v>
      </c>
      <c r="P21" s="74">
        <v>1</v>
      </c>
      <c r="Q21" s="73">
        <v>6</v>
      </c>
      <c r="R21" s="73">
        <v>5</v>
      </c>
      <c r="S21" s="73">
        <v>5</v>
      </c>
      <c r="T21" s="73">
        <v>5</v>
      </c>
      <c r="U21" s="73">
        <v>5</v>
      </c>
      <c r="V21" s="77">
        <v>8</v>
      </c>
      <c r="W21" s="73">
        <v>6</v>
      </c>
      <c r="X21" s="77">
        <v>9</v>
      </c>
      <c r="Y21" s="73">
        <v>4</v>
      </c>
      <c r="Z21" s="74">
        <v>2</v>
      </c>
      <c r="AA21" s="79">
        <v>5</v>
      </c>
      <c r="AB21" s="80">
        <f>IFERROR((30/100*MAX('⚙ Parámetros'!D15/(1+2^(-'⚙ Parámetros'!C15*(F21-'⚙ Parámetros'!B15))),'⚙ Parámetros'!G15/(1+2^(-'⚙ Parámetros'!F15*(F21-'⚙ Parámetros'!E15))),1)*F21+30/100*MAX('⚙ Parámetros'!D15/(1+2^(-'⚙ Parámetros'!C15*(G21-'⚙ Parámetros'!B15))),'⚙ Parámetros'!G15/(1+2^(-'⚙ Parámetros'!F15*(G21-'⚙ Parámetros'!E15))),1)*G21+20/100*MAX('⚙ Parámetros'!D15/(1+2^(-'⚙ Parámetros'!C15*(H21-'⚙ Parámetros'!B15))),'⚙ Parámetros'!G15/(1+2^(-'⚙ Parámetros'!F15*(H21-'⚙ Parámetros'!E15))),1)*H21+20/100*MAX('⚙ Parámetros'!D15/(1+2^(-'⚙ Parámetros'!C15*(I21-'⚙ Parámetros'!B15))),'⚙ Parámetros'!G15/(1+2^(-'⚙ Parámetros'!F15*(I21-'⚙ Parámetros'!E15))),1)*I21)/(30/100*MAX('⚙ Parámetros'!D15/(1+2^(-'⚙ Parámetros'!C15*(F21-'⚙ Parámetros'!B15))),'⚙ Parámetros'!G15/(1+2^(-'⚙ Parámetros'!F15*(F21-'⚙ Parámetros'!E15))),1)+30/100*MAX('⚙ Parámetros'!D15/(1+2^(-'⚙ Parámetros'!C15*(G21-'⚙ Parámetros'!B15))),'⚙ Parámetros'!G15/(1+2^(-'⚙ Parámetros'!F15*(G21-'⚙ Parámetros'!E15))),1)+20/100*MAX('⚙ Parámetros'!D15/(1+2^(-'⚙ Parámetros'!C15*(H21-'⚙ Parámetros'!B15))),'⚙ Parámetros'!G15/(1+2^(-'⚙ Parámetros'!F15*(H21-'⚙ Parámetros'!E15))),1)+20/100*MAX('⚙ Parámetros'!D15/(1+2^(-'⚙ Parámetros'!C15*(I21-'⚙ Parámetros'!B15))),'⚙ Parámetros'!G15/(1+2^(-'⚙ Parámetros'!F15*(I21-'⚙ Parámetros'!E15))),1)),0)</f>
        <v>8.242064453598255</v>
      </c>
      <c r="AC21" s="80">
        <f>IFERROR((35/100*MAX('⚙ Parámetros'!D16/(1+2^(-'⚙ Parámetros'!C16*(J21-'⚙ Parámetros'!B16))),'⚙ Parámetros'!G16/(1+2^(-'⚙ Parámetros'!F16*(J21-'⚙ Parámetros'!E16))),1)*J21+25/100*MAX('⚙ Parámetros'!D16/(1+2^(-'⚙ Parámetros'!C16*(K21-'⚙ Parámetros'!B16))),'⚙ Parámetros'!G16/(1+2^(-'⚙ Parámetros'!F16*(K21-'⚙ Parámetros'!E16))),1)*K21+20/100*MAX('⚙ Parámetros'!D16/(1+2^(-'⚙ Parámetros'!C16*(L21-'⚙ Parámetros'!B16))),'⚙ Parámetros'!G16/(1+2^(-'⚙ Parámetros'!F16*(L21-'⚙ Parámetros'!E16))),1)*L21+20/100*MAX('⚙ Parámetros'!D16/(1+2^(-'⚙ Parámetros'!C16*(M21-'⚙ Parámetros'!B16))),'⚙ Parámetros'!G16/(1+2^(-'⚙ Parámetros'!F16*(M21-'⚙ Parámetros'!E16))),1)*M21)/(35/100*MAX('⚙ Parámetros'!D16/(1+2^(-'⚙ Parámetros'!C16*(J21-'⚙ Parámetros'!B16))),'⚙ Parámetros'!G16/(1+2^(-'⚙ Parámetros'!F16*(J21-'⚙ Parámetros'!E16))),1)+25/100*MAX('⚙ Parámetros'!D16/(1+2^(-'⚙ Parámetros'!C16*(K21-'⚙ Parámetros'!B16))),'⚙ Parámetros'!G16/(1+2^(-'⚙ Parámetros'!F16*(K21-'⚙ Parámetros'!E16))),1)+20/100*MAX('⚙ Parámetros'!D16/(1+2^(-'⚙ Parámetros'!C16*(L21-'⚙ Parámetros'!B16))),'⚙ Parámetros'!G16/(1+2^(-'⚙ Parámetros'!F16*(L21-'⚙ Parámetros'!E16))),1)+20/100*MAX('⚙ Parámetros'!D16/(1+2^(-'⚙ Parámetros'!C16*(M21-'⚙ Parámetros'!B16))),'⚙ Parámetros'!G16/(1+2^(-'⚙ Parámetros'!F16*(M21-'⚙ Parámetros'!E16))),1)),0)</f>
        <v>4.9411764705882355</v>
      </c>
      <c r="AD21" s="80">
        <f>IFERROR((30/100*MAX('⚙ Parámetros'!D17/(1+2^(-'⚙ Parámetros'!C17*(N21-'⚙ Parámetros'!B17))),'⚙ Parámetros'!G17/(1+2^(-'⚙ Parámetros'!F17*(N21-'⚙ Parámetros'!E17))),1)*N21+25/100*MAX('⚙ Parámetros'!D17/(1+2^(-'⚙ Parámetros'!C17*(O21-'⚙ Parámetros'!B17))),'⚙ Parámetros'!G17/(1+2^(-'⚙ Parámetros'!F17*(O21-'⚙ Parámetros'!E17))),1)*O21+25/100*MAX('⚙ Parámetros'!D17/(1+2^(-'⚙ Parámetros'!C17*(P21-'⚙ Parámetros'!B17))),'⚙ Parámetros'!G17/(1+2^(-'⚙ Parámetros'!F17*(P21-'⚙ Parámetros'!E17))),1)*P21+20/100*MAX('⚙ Parámetros'!D17/(1+2^(-'⚙ Parámetros'!C17*(Q21-'⚙ Parámetros'!B17))),'⚙ Parámetros'!G17/(1+2^(-'⚙ Parámetros'!F17*(Q21-'⚙ Parámetros'!E17))),1)*Q21)/(30/100*MAX('⚙ Parámetros'!D17/(1+2^(-'⚙ Parámetros'!C17*(N21-'⚙ Parámetros'!B17))),'⚙ Parámetros'!G17/(1+2^(-'⚙ Parámetros'!F17*(N21-'⚙ Parámetros'!E17))),1)+25/100*MAX('⚙ Parámetros'!D17/(1+2^(-'⚙ Parámetros'!C17*(O21-'⚙ Parámetros'!B17))),'⚙ Parámetros'!G17/(1+2^(-'⚙ Parámetros'!F17*(O21-'⚙ Parámetros'!E17))),1)+25/100*MAX('⚙ Parámetros'!D17/(1+2^(-'⚙ Parámetros'!C17*(P21-'⚙ Parámetros'!B17))),'⚙ Parámetros'!G17/(1+2^(-'⚙ Parámetros'!F17*(P21-'⚙ Parámetros'!E17))),1)+20/100*MAX('⚙ Parámetros'!D17/(1+2^(-'⚙ Parámetros'!C17*(Q21-'⚙ Parámetros'!B17))),'⚙ Parámetros'!G17/(1+2^(-'⚙ Parámetros'!F17*(Q21-'⚙ Parámetros'!E17))),1)),0)</f>
        <v>2.8749999999999996</v>
      </c>
      <c r="AE21" s="80">
        <f>IFERROR((30/100*MAX('⚙ Parámetros'!D18/(1+2^(-'⚙ Parámetros'!C18*(R21-'⚙ Parámetros'!B18))),'⚙ Parámetros'!G18/(1+2^(-'⚙ Parámetros'!F18*(R21-'⚙ Parámetros'!E18))),1)*R21+30/100*MAX('⚙ Parámetros'!D18/(1+2^(-'⚙ Parámetros'!C18*(S21-'⚙ Parámetros'!B18))),'⚙ Parámetros'!G18/(1+2^(-'⚙ Parámetros'!F18*(S21-'⚙ Parámetros'!E18))),1)*S21+20/100*MAX('⚙ Parámetros'!D18/(1+2^(-'⚙ Parámetros'!C18*(T21-'⚙ Parámetros'!B18))),'⚙ Parámetros'!G18/(1+2^(-'⚙ Parámetros'!F18*(T21-'⚙ Parámetros'!E18))),1)*T21+20/100*MAX('⚙ Parámetros'!D18/(1+2^(-'⚙ Parámetros'!C18*(U21-'⚙ Parámetros'!B18))),'⚙ Parámetros'!G18/(1+2^(-'⚙ Parámetros'!F18*(U21-'⚙ Parámetros'!E18))),1)*U21)/(30/100*MAX('⚙ Parámetros'!D18/(1+2^(-'⚙ Parámetros'!C18*(R21-'⚙ Parámetros'!B18))),'⚙ Parámetros'!G18/(1+2^(-'⚙ Parámetros'!F18*(R21-'⚙ Parámetros'!E18))),1)+30/100*MAX('⚙ Parámetros'!D18/(1+2^(-'⚙ Parámetros'!C18*(S21-'⚙ Parámetros'!B18))),'⚙ Parámetros'!G18/(1+2^(-'⚙ Parámetros'!F18*(S21-'⚙ Parámetros'!E18))),1)+20/100*MAX('⚙ Parámetros'!D18/(1+2^(-'⚙ Parámetros'!C18*(T21-'⚙ Parámetros'!B18))),'⚙ Parámetros'!G18/(1+2^(-'⚙ Parámetros'!F18*(T21-'⚙ Parámetros'!E18))),1)+20/100*MAX('⚙ Parámetros'!D18/(1+2^(-'⚙ Parámetros'!C18*(U21-'⚙ Parámetros'!B18))),'⚙ Parámetros'!G18/(1+2^(-'⚙ Parámetros'!F18*(U21-'⚙ Parámetros'!E18))),1)),0)</f>
        <v>5</v>
      </c>
      <c r="AF21" s="80">
        <f>IFERROR((30/100*MAX('⚙ Parámetros'!D19/(1+2^(-'⚙ Parámetros'!C19*(V21-'⚙ Parámetros'!B19))),'⚙ Parámetros'!G19/(1+2^(-'⚙ Parámetros'!F19*(V21-'⚙ Parámetros'!E19))),1)*V21+35/100*MAX('⚙ Parámetros'!D19/(1+2^(-'⚙ Parámetros'!C19*(W21-'⚙ Parámetros'!B19))),'⚙ Parámetros'!G19/(1+2^(-'⚙ Parámetros'!F19*(W21-'⚙ Parámetros'!E19))),1)*W21+35/100*MAX('⚙ Parámetros'!D19/(1+2^(-'⚙ Parámetros'!C19*(X21-'⚙ Parámetros'!B19))),'⚙ Parámetros'!G19/(1+2^(-'⚙ Parámetros'!F19*(X21-'⚙ Parámetros'!E19))),1)*X21)/(30/100*MAX('⚙ Parámetros'!D19/(1+2^(-'⚙ Parámetros'!C19*(V21-'⚙ Parámetros'!B19))),'⚙ Parámetros'!G19/(1+2^(-'⚙ Parámetros'!F19*(V21-'⚙ Parámetros'!E19))),1)+35/100*MAX('⚙ Parámetros'!D19/(1+2^(-'⚙ Parámetros'!C19*(W21-'⚙ Parámetros'!B19))),'⚙ Parámetros'!G19/(1+2^(-'⚙ Parámetros'!F19*(W21-'⚙ Parámetros'!E19))),1)+35/100*MAX('⚙ Parámetros'!D19/(1+2^(-'⚙ Parámetros'!C19*(X21-'⚙ Parámetros'!B19))),'⚙ Parámetros'!G19/(1+2^(-'⚙ Parámetros'!F19*(X21-'⚙ Parámetros'!E19))),1)),0)</f>
        <v>8.0351483057098907</v>
      </c>
      <c r="AG21" s="80">
        <f>IFERROR((35/100*MAX('⚙ Parámetros'!D20/(1+2^(-'⚙ Parámetros'!C20*(Y21-'⚙ Parámetros'!B20))),'⚙ Parámetros'!G20/(1+2^(-'⚙ Parámetros'!F20*(Y21-'⚙ Parámetros'!E20))),1)*Y21+35/100*MAX('⚙ Parámetros'!D20/(1+2^(-'⚙ Parámetros'!C20*(Z21-'⚙ Parámetros'!B20))),'⚙ Parámetros'!G20/(1+2^(-'⚙ Parámetros'!F20*(Z21-'⚙ Parámetros'!E20))),1)*Z21+30/100*MAX('⚙ Parámetros'!D20/(1+2^(-'⚙ Parámetros'!C20*(AA21-'⚙ Parámetros'!B20))),'⚙ Parámetros'!G20/(1+2^(-'⚙ Parámetros'!F20*(AA21-'⚙ Parámetros'!E20))),1)*AA21)/(35/100*MAX('⚙ Parámetros'!D20/(1+2^(-'⚙ Parámetros'!C20*(Y21-'⚙ Parámetros'!B20))),'⚙ Parámetros'!G20/(1+2^(-'⚙ Parámetros'!F20*(Y21-'⚙ Parámetros'!E20))),1)+35/100*MAX('⚙ Parámetros'!D20/(1+2^(-'⚙ Parámetros'!C20*(Z21-'⚙ Parámetros'!B20))),'⚙ Parámetros'!G20/(1+2^(-'⚙ Parámetros'!F20*(Z21-'⚙ Parámetros'!E20))),1)+30/100*MAX('⚙ Parámetros'!D20/(1+2^(-'⚙ Parámetros'!C20*(AA21-'⚙ Parámetros'!B20))),'⚙ Parámetros'!G20/(1+2^(-'⚙ Parámetros'!F20*(AA21-'⚙ Parámetros'!E20))),1)),0)</f>
        <v>3.7272727272727275</v>
      </c>
      <c r="AH21" s="81">
        <f>('⚙ Parámetros'!B5/100*AB21+'⚙ Parámetros'!B6/100*AC21+'⚙ Parámetros'!B7/100*AD21+'⚙ Parámetros'!B8/100*AE21+'⚙ Parámetros'!B9/100*AF21+'⚙ Parámetros'!B10/100*AG21)</f>
        <v>5.7375512789499306</v>
      </c>
      <c r="AI21" s="33">
        <f ca="1">MIN(1+MAX(0,TODAY()-DATE(2024,9,12))/365*'⚙ Parámetros'!B33,'⚙ Parámetros'!B34)</f>
        <v>1.25</v>
      </c>
      <c r="AJ21" s="82">
        <f t="shared" ca="1" si="0"/>
        <v>7.171939098687413</v>
      </c>
      <c r="AK21" s="83" t="str">
        <f ca="1">IF(AB21&gt;='⚙ Parámetros'!B23,"⚑ AUTO-PRIOR.(D1≥8)",IF(AJ21&gt;='⚙ Parámetros'!B23,"PRIORITARIO",IF(AJ21&gt;='⚙ Parámetros'!B24,"ALTA PRIORIDAD",IF(AJ21&gt;='⚙ Parámetros'!B25,"PRIORIDAD MEDIA",IF(AJ21&gt;='⚙ Parámetros'!B26,"BAJA PRIORIDAD","DESCARTAR")))))</f>
        <v>ALTA PRIORIDAD</v>
      </c>
      <c r="AL21" s="29" t="str">
        <f t="shared" si="1"/>
        <v>SÍ ⚑</v>
      </c>
      <c r="AM21" s="85">
        <v>13</v>
      </c>
      <c r="AN21" s="83" t="str">
        <f>IF(AM21="","—",IF(AM21&lt;'⚙ Parámetros'!B29,"🟢 Corto",IF(AM21&lt;'⚙ Parámetros'!B30,"🟡 Medio","🔴 Largo")))</f>
        <v>🟢 Corto</v>
      </c>
    </row>
    <row r="22" spans="1:40" ht="18.75" customHeight="1" x14ac:dyDescent="0.25">
      <c r="A22" s="69">
        <v>18</v>
      </c>
      <c r="B22" s="30" t="s">
        <v>173</v>
      </c>
      <c r="C22" s="26" t="s">
        <v>142</v>
      </c>
      <c r="D22" s="71" t="s">
        <v>136</v>
      </c>
      <c r="E22" s="72" t="s">
        <v>143</v>
      </c>
      <c r="F22" s="86">
        <v>6</v>
      </c>
      <c r="G22" s="86">
        <v>5</v>
      </c>
      <c r="H22" s="74">
        <v>1</v>
      </c>
      <c r="I22" s="86">
        <v>5</v>
      </c>
      <c r="J22" s="74">
        <v>1</v>
      </c>
      <c r="K22" s="74">
        <v>1</v>
      </c>
      <c r="L22" s="75">
        <v>8</v>
      </c>
      <c r="M22" s="86">
        <v>3</v>
      </c>
      <c r="N22" s="86">
        <v>7</v>
      </c>
      <c r="O22" s="74">
        <v>1</v>
      </c>
      <c r="P22" s="74">
        <v>1</v>
      </c>
      <c r="Q22" s="87">
        <v>8</v>
      </c>
      <c r="R22" s="76">
        <v>9</v>
      </c>
      <c r="S22" s="76">
        <v>9</v>
      </c>
      <c r="T22" s="86">
        <v>5</v>
      </c>
      <c r="U22" s="86">
        <v>5</v>
      </c>
      <c r="V22" s="77">
        <v>8</v>
      </c>
      <c r="W22" s="86">
        <v>6</v>
      </c>
      <c r="X22" s="77">
        <v>9</v>
      </c>
      <c r="Y22" s="86">
        <v>4</v>
      </c>
      <c r="Z22" s="74">
        <v>2</v>
      </c>
      <c r="AA22" s="93">
        <v>5</v>
      </c>
      <c r="AB22" s="89">
        <f>IFERROR((30/100*MAX('⚙ Parámetros'!D15/(1+2^(-'⚙ Parámetros'!C15*(F22-'⚙ Parámetros'!B15))),'⚙ Parámetros'!G15/(1+2^(-'⚙ Parámetros'!F15*(F22-'⚙ Parámetros'!E15))),1)*F22+30/100*MAX('⚙ Parámetros'!D15/(1+2^(-'⚙ Parámetros'!C15*(G22-'⚙ Parámetros'!B15))),'⚙ Parámetros'!G15/(1+2^(-'⚙ Parámetros'!F15*(G22-'⚙ Parámetros'!E15))),1)*G22+20/100*MAX('⚙ Parámetros'!D15/(1+2^(-'⚙ Parámetros'!C15*(H22-'⚙ Parámetros'!B15))),'⚙ Parámetros'!G15/(1+2^(-'⚙ Parámetros'!F15*(H22-'⚙ Parámetros'!E15))),1)*H22+20/100*MAX('⚙ Parámetros'!D15/(1+2^(-'⚙ Parámetros'!C15*(I22-'⚙ Parámetros'!B15))),'⚙ Parámetros'!G15/(1+2^(-'⚙ Parámetros'!F15*(I22-'⚙ Parámetros'!E15))),1)*I22)/(30/100*MAX('⚙ Parámetros'!D15/(1+2^(-'⚙ Parámetros'!C15*(F22-'⚙ Parámetros'!B15))),'⚙ Parámetros'!G15/(1+2^(-'⚙ Parámetros'!F15*(F22-'⚙ Parámetros'!E15))),1)+30/100*MAX('⚙ Parámetros'!D15/(1+2^(-'⚙ Parámetros'!C15*(G22-'⚙ Parámetros'!B15))),'⚙ Parámetros'!G15/(1+2^(-'⚙ Parámetros'!F15*(G22-'⚙ Parámetros'!E15))),1)+20/100*MAX('⚙ Parámetros'!D15/(1+2^(-'⚙ Parámetros'!C15*(H22-'⚙ Parámetros'!B15))),'⚙ Parámetros'!G15/(1+2^(-'⚙ Parámetros'!F15*(H22-'⚙ Parámetros'!E15))),1)+20/100*MAX('⚙ Parámetros'!D15/(1+2^(-'⚙ Parámetros'!C15*(I22-'⚙ Parámetros'!B15))),'⚙ Parámetros'!G15/(1+2^(-'⚙ Parámetros'!F15*(I22-'⚙ Parámetros'!E15))),1)),0)</f>
        <v>4.8311688311688314</v>
      </c>
      <c r="AC22" s="89">
        <f>IFERROR((35/100*MAX('⚙ Parámetros'!D16/(1+2^(-'⚙ Parámetros'!C16*(J22-'⚙ Parámetros'!B16))),'⚙ Parámetros'!G16/(1+2^(-'⚙ Parámetros'!F16*(J22-'⚙ Parámetros'!E16))),1)*J22+25/100*MAX('⚙ Parámetros'!D16/(1+2^(-'⚙ Parámetros'!C16*(K22-'⚙ Parámetros'!B16))),'⚙ Parámetros'!G16/(1+2^(-'⚙ Parámetros'!F16*(K22-'⚙ Parámetros'!E16))),1)*K22+20/100*MAX('⚙ Parámetros'!D16/(1+2^(-'⚙ Parámetros'!C16*(L22-'⚙ Parámetros'!B16))),'⚙ Parámetros'!G16/(1+2^(-'⚙ Parámetros'!F16*(L22-'⚙ Parámetros'!E16))),1)*L22+20/100*MAX('⚙ Parámetros'!D16/(1+2^(-'⚙ Parámetros'!C16*(M22-'⚙ Parámetros'!B16))),'⚙ Parámetros'!G16/(1+2^(-'⚙ Parámetros'!F16*(M22-'⚙ Parámetros'!E16))),1)*M22)/(35/100*MAX('⚙ Parámetros'!D16/(1+2^(-'⚙ Parámetros'!C16*(J22-'⚙ Parámetros'!B16))),'⚙ Parámetros'!G16/(1+2^(-'⚙ Parámetros'!F16*(J22-'⚙ Parámetros'!E16))),1)+25/100*MAX('⚙ Parámetros'!D16/(1+2^(-'⚙ Parámetros'!C16*(K22-'⚙ Parámetros'!B16))),'⚙ Parámetros'!G16/(1+2^(-'⚙ Parámetros'!F16*(K22-'⚙ Parámetros'!E16))),1)+20/100*MAX('⚙ Parámetros'!D16/(1+2^(-'⚙ Parámetros'!C16*(L22-'⚙ Parámetros'!B16))),'⚙ Parámetros'!G16/(1+2^(-'⚙ Parámetros'!F16*(L22-'⚙ Parámetros'!E16))),1)+20/100*MAX('⚙ Parámetros'!D16/(1+2^(-'⚙ Parámetros'!C16*(M22-'⚙ Parámetros'!B16))),'⚙ Parámetros'!G16/(1+2^(-'⚙ Parámetros'!F16*(M22-'⚙ Parámetros'!E16))),1)),0)</f>
        <v>4.9411764705882355</v>
      </c>
      <c r="AD22" s="89">
        <f>IFERROR((30/100*MAX('⚙ Parámetros'!D17/(1+2^(-'⚙ Parámetros'!C17*(N22-'⚙ Parámetros'!B17))),'⚙ Parámetros'!G17/(1+2^(-'⚙ Parámetros'!F17*(N22-'⚙ Parámetros'!E17))),1)*N22+25/100*MAX('⚙ Parámetros'!D17/(1+2^(-'⚙ Parámetros'!C17*(O22-'⚙ Parámetros'!B17))),'⚙ Parámetros'!G17/(1+2^(-'⚙ Parámetros'!F17*(O22-'⚙ Parámetros'!E17))),1)*O22+25/100*MAX('⚙ Parámetros'!D17/(1+2^(-'⚙ Parámetros'!C17*(P22-'⚙ Parámetros'!B17))),'⚙ Parámetros'!G17/(1+2^(-'⚙ Parámetros'!F17*(P22-'⚙ Parámetros'!E17))),1)*P22+20/100*MAX('⚙ Parámetros'!D17/(1+2^(-'⚙ Parámetros'!C17*(Q22-'⚙ Parámetros'!B17))),'⚙ Parámetros'!G17/(1+2^(-'⚙ Parámetros'!F17*(Q22-'⚙ Parámetros'!E17))),1)*Q22)/(30/100*MAX('⚙ Parámetros'!D17/(1+2^(-'⚙ Parámetros'!C17*(N22-'⚙ Parámetros'!B17))),'⚙ Parámetros'!G17/(1+2^(-'⚙ Parámetros'!F17*(N22-'⚙ Parámetros'!E17))),1)+25/100*MAX('⚙ Parámetros'!D17/(1+2^(-'⚙ Parámetros'!C17*(O22-'⚙ Parámetros'!B17))),'⚙ Parámetros'!G17/(1+2^(-'⚙ Parámetros'!F17*(O22-'⚙ Parámetros'!E17))),1)+25/100*MAX('⚙ Parámetros'!D17/(1+2^(-'⚙ Parámetros'!C17*(P22-'⚙ Parámetros'!B17))),'⚙ Parámetros'!G17/(1+2^(-'⚙ Parámetros'!F17*(P22-'⚙ Parámetros'!E17))),1)+20/100*MAX('⚙ Parámetros'!D17/(1+2^(-'⚙ Parámetros'!C17*(Q22-'⚙ Parámetros'!B17))),'⚙ Parámetros'!G17/(1+2^(-'⚙ Parámetros'!F17*(Q22-'⚙ Parámetros'!E17))),1)),0)</f>
        <v>5.9523809523809534</v>
      </c>
      <c r="AE22" s="89">
        <f>IFERROR((30/100*MAX('⚙ Parámetros'!D18/(1+2^(-'⚙ Parámetros'!C18*(R22-'⚙ Parámetros'!B18))),'⚙ Parámetros'!G18/(1+2^(-'⚙ Parámetros'!F18*(R22-'⚙ Parámetros'!E18))),1)*R22+30/100*MAX('⚙ Parámetros'!D18/(1+2^(-'⚙ Parámetros'!C18*(S22-'⚙ Parámetros'!B18))),'⚙ Parámetros'!G18/(1+2^(-'⚙ Parámetros'!F18*(S22-'⚙ Parámetros'!E18))),1)*S22+20/100*MAX('⚙ Parámetros'!D18/(1+2^(-'⚙ Parámetros'!C18*(T22-'⚙ Parámetros'!B18))),'⚙ Parámetros'!G18/(1+2^(-'⚙ Parámetros'!F18*(T22-'⚙ Parámetros'!E18))),1)*T22+20/100*MAX('⚙ Parámetros'!D18/(1+2^(-'⚙ Parámetros'!C18*(U22-'⚙ Parámetros'!B18))),'⚙ Parámetros'!G18/(1+2^(-'⚙ Parámetros'!F18*(U22-'⚙ Parámetros'!E18))),1)*U22)/(30/100*MAX('⚙ Parámetros'!D18/(1+2^(-'⚙ Parámetros'!C18*(R22-'⚙ Parámetros'!B18))),'⚙ Parámetros'!G18/(1+2^(-'⚙ Parámetros'!F18*(R22-'⚙ Parámetros'!E18))),1)+30/100*MAX('⚙ Parámetros'!D18/(1+2^(-'⚙ Parámetros'!C18*(S22-'⚙ Parámetros'!B18))),'⚙ Parámetros'!G18/(1+2^(-'⚙ Parámetros'!F18*(S22-'⚙ Parámetros'!E18))),1)+20/100*MAX('⚙ Parámetros'!D18/(1+2^(-'⚙ Parámetros'!C18*(T22-'⚙ Parámetros'!B18))),'⚙ Parámetros'!G18/(1+2^(-'⚙ Parámetros'!F18*(T22-'⚙ Parámetros'!E18))),1)+20/100*MAX('⚙ Parámetros'!D18/(1+2^(-'⚙ Parámetros'!C18*(U22-'⚙ Parámetros'!B18))),'⚙ Parámetros'!G18/(1+2^(-'⚙ Parámetros'!F18*(U22-'⚙ Parámetros'!E18))),1)),0)</f>
        <v>8.1801060365339655</v>
      </c>
      <c r="AF22" s="89">
        <f>IFERROR((30/100*MAX('⚙ Parámetros'!D19/(1+2^(-'⚙ Parámetros'!C19*(V22-'⚙ Parámetros'!B19))),'⚙ Parámetros'!G19/(1+2^(-'⚙ Parámetros'!F19*(V22-'⚙ Parámetros'!E19))),1)*V22+35/100*MAX('⚙ Parámetros'!D19/(1+2^(-'⚙ Parámetros'!C19*(W22-'⚙ Parámetros'!B19))),'⚙ Parámetros'!G19/(1+2^(-'⚙ Parámetros'!F19*(W22-'⚙ Parámetros'!E19))),1)*W22+35/100*MAX('⚙ Parámetros'!D19/(1+2^(-'⚙ Parámetros'!C19*(X22-'⚙ Parámetros'!B19))),'⚙ Parámetros'!G19/(1+2^(-'⚙ Parámetros'!F19*(X22-'⚙ Parámetros'!E19))),1)*X22)/(30/100*MAX('⚙ Parámetros'!D19/(1+2^(-'⚙ Parámetros'!C19*(V22-'⚙ Parámetros'!B19))),'⚙ Parámetros'!G19/(1+2^(-'⚙ Parámetros'!F19*(V22-'⚙ Parámetros'!E19))),1)+35/100*MAX('⚙ Parámetros'!D19/(1+2^(-'⚙ Parámetros'!C19*(W22-'⚙ Parámetros'!B19))),'⚙ Parámetros'!G19/(1+2^(-'⚙ Parámetros'!F19*(W22-'⚙ Parámetros'!E19))),1)+35/100*MAX('⚙ Parámetros'!D19/(1+2^(-'⚙ Parámetros'!C19*(X22-'⚙ Parámetros'!B19))),'⚙ Parámetros'!G19/(1+2^(-'⚙ Parámetros'!F19*(X22-'⚙ Parámetros'!E19))),1)),0)</f>
        <v>8.0351483057098907</v>
      </c>
      <c r="AG22" s="89">
        <f>IFERROR((35/100*MAX('⚙ Parámetros'!D20/(1+2^(-'⚙ Parámetros'!C20*(Y22-'⚙ Parámetros'!B20))),'⚙ Parámetros'!G20/(1+2^(-'⚙ Parámetros'!F20*(Y22-'⚙ Parámetros'!E20))),1)*Y22+35/100*MAX('⚙ Parámetros'!D20/(1+2^(-'⚙ Parámetros'!C20*(Z22-'⚙ Parámetros'!B20))),'⚙ Parámetros'!G20/(1+2^(-'⚙ Parámetros'!F20*(Z22-'⚙ Parámetros'!E20))),1)*Z22+30/100*MAX('⚙ Parámetros'!D20/(1+2^(-'⚙ Parámetros'!C20*(AA22-'⚙ Parámetros'!B20))),'⚙ Parámetros'!G20/(1+2^(-'⚙ Parámetros'!F20*(AA22-'⚙ Parámetros'!E20))),1)*AA22)/(35/100*MAX('⚙ Parámetros'!D20/(1+2^(-'⚙ Parámetros'!C20*(Y22-'⚙ Parámetros'!B20))),'⚙ Parámetros'!G20/(1+2^(-'⚙ Parámetros'!F20*(Y22-'⚙ Parámetros'!E20))),1)+35/100*MAX('⚙ Parámetros'!D20/(1+2^(-'⚙ Parámetros'!C20*(Z22-'⚙ Parámetros'!B20))),'⚙ Parámetros'!G20/(1+2^(-'⚙ Parámetros'!F20*(Z22-'⚙ Parámetros'!E20))),1)+30/100*MAX('⚙ Parámetros'!D20/(1+2^(-'⚙ Parámetros'!C20*(AA22-'⚙ Parámetros'!B20))),'⚙ Parámetros'!G20/(1+2^(-'⚙ Parámetros'!F20*(AA22-'⚙ Parámetros'!E20))),1)),0)</f>
        <v>3.7272727272727275</v>
      </c>
      <c r="AH22" s="90">
        <f>('⚙ Parámetros'!B5/100*AB22+'⚙ Parámetros'!B6/100*AC22+'⚙ Parámetros'!B7/100*AD22+'⚙ Parámetros'!B8/100*AE22+'⚙ Parámetros'!B9/100*AF22+'⚙ Parámetros'!B10/100*AG22)</f>
        <v>5.7113715070813695</v>
      </c>
      <c r="AI22" s="91">
        <f ca="1">MIN(1+MAX(0,TODAY()-DATE(2026,1,14))/365*'⚙ Parámetros'!B33,'⚙ Parámetros'!B34)</f>
        <v>1.0612328767123287</v>
      </c>
      <c r="AJ22" s="82">
        <f t="shared" ca="1" si="0"/>
        <v>6.0610952144327896</v>
      </c>
      <c r="AK22" s="92" t="str">
        <f ca="1">IF(AB22&gt;='⚙ Parámetros'!B23,"⚑ AUTO-PRIOR.(D1≥8)",IF(AJ22&gt;='⚙ Parámetros'!B23,"PRIORITARIO",IF(AJ22&gt;='⚙ Parámetros'!B24,"ALTA PRIORIDAD",IF(AJ22&gt;='⚙ Parámetros'!B25,"PRIORIDAD MEDIA",IF(AJ22&gt;='⚙ Parámetros'!B26,"BAJA PRIORIDAD","DESCARTAR")))))</f>
        <v>PRIORIDAD MEDIA</v>
      </c>
      <c r="AL22" s="69" t="str">
        <f t="shared" si="1"/>
        <v>—</v>
      </c>
      <c r="AM22" s="85">
        <v>43</v>
      </c>
      <c r="AN22" s="83" t="str">
        <f>IF(AM22="","—",IF(AM22&lt;'⚙ Parámetros'!B29,"🟢 Corto",IF(AM22&lt;'⚙ Parámetros'!B30,"🟡 Medio","🔴 Largo")))</f>
        <v>🟡 Medio</v>
      </c>
    </row>
    <row r="23" spans="1:40" ht="18.75" customHeight="1" x14ac:dyDescent="0.25">
      <c r="A23" s="69">
        <v>19</v>
      </c>
      <c r="B23" s="70" t="s">
        <v>174</v>
      </c>
      <c r="C23" s="4" t="s">
        <v>131</v>
      </c>
      <c r="D23" s="71" t="s">
        <v>139</v>
      </c>
      <c r="E23" s="72" t="s">
        <v>140</v>
      </c>
      <c r="F23" s="74">
        <v>1</v>
      </c>
      <c r="G23" s="74">
        <v>1</v>
      </c>
      <c r="H23" s="73">
        <v>5</v>
      </c>
      <c r="I23" s="74">
        <v>1</v>
      </c>
      <c r="J23" s="75">
        <v>10</v>
      </c>
      <c r="K23" s="74">
        <v>1</v>
      </c>
      <c r="L23" s="73">
        <v>6</v>
      </c>
      <c r="M23" s="75">
        <v>9</v>
      </c>
      <c r="N23" s="87">
        <v>9</v>
      </c>
      <c r="O23" s="87">
        <v>8</v>
      </c>
      <c r="P23" s="87">
        <v>9</v>
      </c>
      <c r="Q23" s="73">
        <v>6</v>
      </c>
      <c r="R23" s="73">
        <v>5</v>
      </c>
      <c r="S23" s="73">
        <v>5</v>
      </c>
      <c r="T23" s="73">
        <v>5</v>
      </c>
      <c r="U23" s="73">
        <v>5</v>
      </c>
      <c r="V23" s="73">
        <v>5</v>
      </c>
      <c r="W23" s="73">
        <v>6</v>
      </c>
      <c r="X23" s="73">
        <v>3</v>
      </c>
      <c r="Y23" s="73">
        <v>4</v>
      </c>
      <c r="Z23" s="74">
        <v>2</v>
      </c>
      <c r="AA23" s="88">
        <v>8</v>
      </c>
      <c r="AB23" s="80">
        <f>IFERROR((30/100*MAX('⚙ Parámetros'!D15/(1+2^(-'⚙ Parámetros'!C15*(F23-'⚙ Parámetros'!B15))),'⚙ Parámetros'!G15/(1+2^(-'⚙ Parámetros'!F15*(F23-'⚙ Parámetros'!E15))),1)*F23+30/100*MAX('⚙ Parámetros'!D15/(1+2^(-'⚙ Parámetros'!C15*(G23-'⚙ Parámetros'!B15))),'⚙ Parámetros'!G15/(1+2^(-'⚙ Parámetros'!F15*(G23-'⚙ Parámetros'!E15))),1)*G23+20/100*MAX('⚙ Parámetros'!D15/(1+2^(-'⚙ Parámetros'!C15*(H23-'⚙ Parámetros'!B15))),'⚙ Parámetros'!G15/(1+2^(-'⚙ Parámetros'!F15*(H23-'⚙ Parámetros'!E15))),1)*H23+20/100*MAX('⚙ Parámetros'!D15/(1+2^(-'⚙ Parámetros'!C15*(I23-'⚙ Parámetros'!B15))),'⚙ Parámetros'!G15/(1+2^(-'⚙ Parámetros'!F15*(I23-'⚙ Parámetros'!E15))),1)*I23)/(30/100*MAX('⚙ Parámetros'!D15/(1+2^(-'⚙ Parámetros'!C15*(F23-'⚙ Parámetros'!B15))),'⚙ Parámetros'!G15/(1+2^(-'⚙ Parámetros'!F15*(F23-'⚙ Parámetros'!E15))),1)+30/100*MAX('⚙ Parámetros'!D15/(1+2^(-'⚙ Parámetros'!C15*(G23-'⚙ Parámetros'!B15))),'⚙ Parámetros'!G15/(1+2^(-'⚙ Parámetros'!F15*(G23-'⚙ Parámetros'!E15))),1)+20/100*MAX('⚙ Parámetros'!D15/(1+2^(-'⚙ Parámetros'!C15*(H23-'⚙ Parámetros'!B15))),'⚙ Parámetros'!G15/(1+2^(-'⚙ Parámetros'!F15*(H23-'⚙ Parámetros'!E15))),1)+20/100*MAX('⚙ Parámetros'!D15/(1+2^(-'⚙ Parámetros'!C15*(I23-'⚙ Parámetros'!B15))),'⚙ Parámetros'!G15/(1+2^(-'⚙ Parámetros'!F15*(I23-'⚙ Parámetros'!E15))),1)),0)</f>
        <v>2.1428571428571428</v>
      </c>
      <c r="AC23" s="80">
        <f>IFERROR((35/100*MAX('⚙ Parámetros'!D16/(1+2^(-'⚙ Parámetros'!C16*(J23-'⚙ Parámetros'!B16))),'⚙ Parámetros'!G16/(1+2^(-'⚙ Parámetros'!F16*(J23-'⚙ Parámetros'!E16))),1)*J23+25/100*MAX('⚙ Parámetros'!D16/(1+2^(-'⚙ Parámetros'!C16*(K23-'⚙ Parámetros'!B16))),'⚙ Parámetros'!G16/(1+2^(-'⚙ Parámetros'!F16*(K23-'⚙ Parámetros'!E16))),1)*K23+20/100*MAX('⚙ Parámetros'!D16/(1+2^(-'⚙ Parámetros'!C16*(L23-'⚙ Parámetros'!B16))),'⚙ Parámetros'!G16/(1+2^(-'⚙ Parámetros'!F16*(L23-'⚙ Parámetros'!E16))),1)*L23+20/100*MAX('⚙ Parámetros'!D16/(1+2^(-'⚙ Parámetros'!C16*(M23-'⚙ Parámetros'!B16))),'⚙ Parámetros'!G16/(1+2^(-'⚙ Parámetros'!F16*(M23-'⚙ Parámetros'!E16))),1)*M23)/(35/100*MAX('⚙ Parámetros'!D16/(1+2^(-'⚙ Parámetros'!C16*(J23-'⚙ Parámetros'!B16))),'⚙ Parámetros'!G16/(1+2^(-'⚙ Parámetros'!F16*(J23-'⚙ Parámetros'!E16))),1)+25/100*MAX('⚙ Parámetros'!D16/(1+2^(-'⚙ Parámetros'!C16*(K23-'⚙ Parámetros'!B16))),'⚙ Parámetros'!G16/(1+2^(-'⚙ Parámetros'!F16*(K23-'⚙ Parámetros'!E16))),1)+20/100*MAX('⚙ Parámetros'!D16/(1+2^(-'⚙ Parámetros'!C16*(L23-'⚙ Parámetros'!B16))),'⚙ Parámetros'!G16/(1+2^(-'⚙ Parámetros'!F16*(L23-'⚙ Parámetros'!E16))),1)+20/100*MAX('⚙ Parámetros'!D16/(1+2^(-'⚙ Parámetros'!C16*(M23-'⚙ Parámetros'!B16))),'⚙ Parámetros'!G16/(1+2^(-'⚙ Parámetros'!F16*(M23-'⚙ Parámetros'!E16))),1)),0)</f>
        <v>8.9074349868255229</v>
      </c>
      <c r="AD23" s="80">
        <f>IFERROR((30/100*MAX('⚙ Parámetros'!D17/(1+2^(-'⚙ Parámetros'!C17*(N23-'⚙ Parámetros'!B17))),'⚙ Parámetros'!G17/(1+2^(-'⚙ Parámetros'!F17*(N23-'⚙ Parámetros'!E17))),1)*N23+25/100*MAX('⚙ Parámetros'!D17/(1+2^(-'⚙ Parámetros'!C17*(O23-'⚙ Parámetros'!B17))),'⚙ Parámetros'!G17/(1+2^(-'⚙ Parámetros'!F17*(O23-'⚙ Parámetros'!E17))),1)*O23+25/100*MAX('⚙ Parámetros'!D17/(1+2^(-'⚙ Parámetros'!C17*(P23-'⚙ Parámetros'!B17))),'⚙ Parámetros'!G17/(1+2^(-'⚙ Parámetros'!F17*(P23-'⚙ Parámetros'!E17))),1)*P23+20/100*MAX('⚙ Parámetros'!D17/(1+2^(-'⚙ Parámetros'!C17*(Q23-'⚙ Parámetros'!B17))),'⚙ Parámetros'!G17/(1+2^(-'⚙ Parámetros'!F17*(Q23-'⚙ Parámetros'!E17))),1)*Q23)/(30/100*MAX('⚙ Parámetros'!D17/(1+2^(-'⚙ Parámetros'!C17*(N23-'⚙ Parámetros'!B17))),'⚙ Parámetros'!G17/(1+2^(-'⚙ Parámetros'!F17*(N23-'⚙ Parámetros'!E17))),1)+25/100*MAX('⚙ Parámetros'!D17/(1+2^(-'⚙ Parámetros'!C17*(O23-'⚙ Parámetros'!B17))),'⚙ Parámetros'!G17/(1+2^(-'⚙ Parámetros'!F17*(O23-'⚙ Parámetros'!E17))),1)+25/100*MAX('⚙ Parámetros'!D17/(1+2^(-'⚙ Parámetros'!C17*(P23-'⚙ Parámetros'!B17))),'⚙ Parámetros'!G17/(1+2^(-'⚙ Parámetros'!F17*(P23-'⚙ Parámetros'!E17))),1)+20/100*MAX('⚙ Parámetros'!D17/(1+2^(-'⚙ Parámetros'!C17*(Q23-'⚙ Parámetros'!B17))),'⚙ Parámetros'!G17/(1+2^(-'⚙ Parámetros'!F17*(Q23-'⚙ Parámetros'!E17))),1)),0)</f>
        <v>8.5120000000000005</v>
      </c>
      <c r="AE23" s="80">
        <f>IFERROR((30/100*MAX('⚙ Parámetros'!D18/(1+2^(-'⚙ Parámetros'!C18*(R23-'⚙ Parámetros'!B18))),'⚙ Parámetros'!G18/(1+2^(-'⚙ Parámetros'!F18*(R23-'⚙ Parámetros'!E18))),1)*R23+30/100*MAX('⚙ Parámetros'!D18/(1+2^(-'⚙ Parámetros'!C18*(S23-'⚙ Parámetros'!B18))),'⚙ Parámetros'!G18/(1+2^(-'⚙ Parámetros'!F18*(S23-'⚙ Parámetros'!E18))),1)*S23+20/100*MAX('⚙ Parámetros'!D18/(1+2^(-'⚙ Parámetros'!C18*(T23-'⚙ Parámetros'!B18))),'⚙ Parámetros'!G18/(1+2^(-'⚙ Parámetros'!F18*(T23-'⚙ Parámetros'!E18))),1)*T23+20/100*MAX('⚙ Parámetros'!D18/(1+2^(-'⚙ Parámetros'!C18*(U23-'⚙ Parámetros'!B18))),'⚙ Parámetros'!G18/(1+2^(-'⚙ Parámetros'!F18*(U23-'⚙ Parámetros'!E18))),1)*U23)/(30/100*MAX('⚙ Parámetros'!D18/(1+2^(-'⚙ Parámetros'!C18*(R23-'⚙ Parámetros'!B18))),'⚙ Parámetros'!G18/(1+2^(-'⚙ Parámetros'!F18*(R23-'⚙ Parámetros'!E18))),1)+30/100*MAX('⚙ Parámetros'!D18/(1+2^(-'⚙ Parámetros'!C18*(S23-'⚙ Parámetros'!B18))),'⚙ Parámetros'!G18/(1+2^(-'⚙ Parámetros'!F18*(S23-'⚙ Parámetros'!E18))),1)+20/100*MAX('⚙ Parámetros'!D18/(1+2^(-'⚙ Parámetros'!C18*(T23-'⚙ Parámetros'!B18))),'⚙ Parámetros'!G18/(1+2^(-'⚙ Parámetros'!F18*(T23-'⚙ Parámetros'!E18))),1)+20/100*MAX('⚙ Parámetros'!D18/(1+2^(-'⚙ Parámetros'!C18*(U23-'⚙ Parámetros'!B18))),'⚙ Parámetros'!G18/(1+2^(-'⚙ Parámetros'!F18*(U23-'⚙ Parámetros'!E18))),1)),0)</f>
        <v>5</v>
      </c>
      <c r="AF23" s="80">
        <f>IFERROR((30/100*MAX('⚙ Parámetros'!D19/(1+2^(-'⚙ Parámetros'!C19*(V23-'⚙ Parámetros'!B19))),'⚙ Parámetros'!G19/(1+2^(-'⚙ Parámetros'!F19*(V23-'⚙ Parámetros'!E19))),1)*V23+35/100*MAX('⚙ Parámetros'!D19/(1+2^(-'⚙ Parámetros'!C19*(W23-'⚙ Parámetros'!B19))),'⚙ Parámetros'!G19/(1+2^(-'⚙ Parámetros'!F19*(W23-'⚙ Parámetros'!E19))),1)*W23+35/100*MAX('⚙ Parámetros'!D19/(1+2^(-'⚙ Parámetros'!C19*(X23-'⚙ Parámetros'!B19))),'⚙ Parámetros'!G19/(1+2^(-'⚙ Parámetros'!F19*(X23-'⚙ Parámetros'!E19))),1)*X23)/(30/100*MAX('⚙ Parámetros'!D19/(1+2^(-'⚙ Parámetros'!C19*(V23-'⚙ Parámetros'!B19))),'⚙ Parámetros'!G19/(1+2^(-'⚙ Parámetros'!F19*(V23-'⚙ Parámetros'!E19))),1)+35/100*MAX('⚙ Parámetros'!D19/(1+2^(-'⚙ Parámetros'!C19*(W23-'⚙ Parámetros'!B19))),'⚙ Parámetros'!G19/(1+2^(-'⚙ Parámetros'!F19*(W23-'⚙ Parámetros'!E19))),1)+35/100*MAX('⚙ Parámetros'!D19/(1+2^(-'⚙ Parámetros'!C19*(X23-'⚙ Parámetros'!B19))),'⚙ Parámetros'!G19/(1+2^(-'⚙ Parámetros'!F19*(X23-'⚙ Parámetros'!E19))),1)),0)</f>
        <v>5.0782122905027931</v>
      </c>
      <c r="AG23" s="80">
        <f>IFERROR((35/100*MAX('⚙ Parámetros'!D20/(1+2^(-'⚙ Parámetros'!C20*(Y23-'⚙ Parámetros'!B20))),'⚙ Parámetros'!G20/(1+2^(-'⚙ Parámetros'!F20*(Y23-'⚙ Parámetros'!E20))),1)*Y23+35/100*MAX('⚙ Parámetros'!D20/(1+2^(-'⚙ Parámetros'!C20*(Z23-'⚙ Parámetros'!B20))),'⚙ Parámetros'!G20/(1+2^(-'⚙ Parámetros'!F20*(Z23-'⚙ Parámetros'!E20))),1)*Z23+30/100*MAX('⚙ Parámetros'!D20/(1+2^(-'⚙ Parámetros'!C20*(AA23-'⚙ Parámetros'!B20))),'⚙ Parámetros'!G20/(1+2^(-'⚙ Parámetros'!F20*(AA23-'⚙ Parámetros'!E20))),1)*AA23)/(35/100*MAX('⚙ Parámetros'!D20/(1+2^(-'⚙ Parámetros'!C20*(Y23-'⚙ Parámetros'!B20))),'⚙ Parámetros'!G20/(1+2^(-'⚙ Parámetros'!F20*(Y23-'⚙ Parámetros'!E20))),1)+35/100*MAX('⚙ Parámetros'!D20/(1+2^(-'⚙ Parámetros'!C20*(Z23-'⚙ Parámetros'!B20))),'⚙ Parámetros'!G20/(1+2^(-'⚙ Parámetros'!F20*(Z23-'⚙ Parámetros'!E20))),1)+30/100*MAX('⚙ Parámetros'!D20/(1+2^(-'⚙ Parámetros'!C20*(AA23-'⚙ Parámetros'!B20))),'⚙ Parámetros'!G20/(1+2^(-'⚙ Parámetros'!F20*(AA23-'⚙ Parámetros'!E20))),1)),0)</f>
        <v>5.8125</v>
      </c>
      <c r="AH23" s="81">
        <f>('⚙ Parámetros'!B5/100*AB23+'⚙ Parámetros'!B6/100*AC23+'⚙ Parámetros'!B7/100*AD23+'⚙ Parámetros'!B8/100*AE23+'⚙ Parámetros'!B9/100*AF23+'⚙ Parámetros'!B10/100*AG23)</f>
        <v>5.6995653692725261</v>
      </c>
      <c r="AI23" s="33">
        <f ca="1">MIN(1+MAX(0,TODAY()-DATE(2026,4,23))/365*'⚙ Parámetros'!B33,'⚙ Parámetros'!B34)</f>
        <v>1.0205479452054795</v>
      </c>
      <c r="AJ23" s="82">
        <f t="shared" ca="1" si="0"/>
        <v>5.8166797261753871</v>
      </c>
      <c r="AK23" s="83" t="str">
        <f ca="1">IF(AB23&gt;='⚙ Parámetros'!B23,"⚑ AUTO-PRIOR.(D1≥8)",IF(AJ23&gt;='⚙ Parámetros'!B23,"PRIORITARIO",IF(AJ23&gt;='⚙ Parámetros'!B24,"ALTA PRIORIDAD",IF(AJ23&gt;='⚙ Parámetros'!B25,"PRIORIDAD MEDIA",IF(AJ23&gt;='⚙ Parámetros'!B26,"BAJA PRIORIDAD","DESCARTAR")))))</f>
        <v>PRIORIDAD MEDIA</v>
      </c>
      <c r="AL23" s="84" t="str">
        <f t="shared" si="1"/>
        <v>—</v>
      </c>
      <c r="AM23" s="85">
        <v>32</v>
      </c>
      <c r="AN23" s="83" t="str">
        <f>IF(AM23="","—",IF(AM23&lt;'⚙ Parámetros'!B29,"🟢 Corto",IF(AM23&lt;'⚙ Parámetros'!B30,"🟡 Medio","🔴 Largo")))</f>
        <v>🟡 Medio</v>
      </c>
    </row>
    <row r="24" spans="1:40" ht="18.75" customHeight="1" x14ac:dyDescent="0.25">
      <c r="A24" s="69">
        <v>20</v>
      </c>
      <c r="B24" s="30" t="s">
        <v>175</v>
      </c>
      <c r="C24" s="26" t="s">
        <v>131</v>
      </c>
      <c r="D24" s="71" t="s">
        <v>176</v>
      </c>
      <c r="E24" s="72" t="s">
        <v>177</v>
      </c>
      <c r="F24" s="74">
        <v>9</v>
      </c>
      <c r="G24" s="74">
        <v>1</v>
      </c>
      <c r="H24" s="86">
        <v>5</v>
      </c>
      <c r="I24" s="74">
        <v>9</v>
      </c>
      <c r="J24" s="74">
        <v>1</v>
      </c>
      <c r="K24" s="74">
        <v>1</v>
      </c>
      <c r="L24" s="74">
        <v>1</v>
      </c>
      <c r="M24" s="86">
        <v>3</v>
      </c>
      <c r="N24" s="74">
        <v>1</v>
      </c>
      <c r="O24" s="87">
        <v>8</v>
      </c>
      <c r="P24" s="86">
        <v>7</v>
      </c>
      <c r="Q24" s="86">
        <v>6</v>
      </c>
      <c r="R24" s="86">
        <v>6</v>
      </c>
      <c r="S24" s="86">
        <v>6</v>
      </c>
      <c r="T24" s="86">
        <v>5</v>
      </c>
      <c r="U24" s="86">
        <v>5</v>
      </c>
      <c r="V24" s="77">
        <v>8</v>
      </c>
      <c r="W24" s="86">
        <v>4</v>
      </c>
      <c r="X24" s="86">
        <v>5</v>
      </c>
      <c r="Y24" s="86">
        <v>4</v>
      </c>
      <c r="Z24" s="74">
        <v>2</v>
      </c>
      <c r="AA24" s="93">
        <v>5</v>
      </c>
      <c r="AB24" s="89">
        <f>IFERROR((30/100*MAX('⚙ Parámetros'!D15/(1+2^(-'⚙ Parámetros'!C15*(F24-'⚙ Parámetros'!B15))),'⚙ Parámetros'!G15/(1+2^(-'⚙ Parámetros'!F15*(F24-'⚙ Parámetros'!E15))),1)*F24+30/100*MAX('⚙ Parámetros'!D15/(1+2^(-'⚙ Parámetros'!C15*(G24-'⚙ Parámetros'!B15))),'⚙ Parámetros'!G15/(1+2^(-'⚙ Parámetros'!F15*(G24-'⚙ Parámetros'!E15))),1)*G24+20/100*MAX('⚙ Parámetros'!D15/(1+2^(-'⚙ Parámetros'!C15*(H24-'⚙ Parámetros'!B15))),'⚙ Parámetros'!G15/(1+2^(-'⚙ Parámetros'!F15*(H24-'⚙ Parámetros'!E15))),1)*H24+20/100*MAX('⚙ Parámetros'!D15/(1+2^(-'⚙ Parámetros'!C15*(I24-'⚙ Parámetros'!B15))),'⚙ Parámetros'!G15/(1+2^(-'⚙ Parámetros'!F15*(I24-'⚙ Parámetros'!E15))),1)*I24)/(30/100*MAX('⚙ Parámetros'!D15/(1+2^(-'⚙ Parámetros'!C15*(F24-'⚙ Parámetros'!B15))),'⚙ Parámetros'!G15/(1+2^(-'⚙ Parámetros'!F15*(F24-'⚙ Parámetros'!E15))),1)+30/100*MAX('⚙ Parámetros'!D15/(1+2^(-'⚙ Parámetros'!C15*(G24-'⚙ Parámetros'!B15))),'⚙ Parámetros'!G15/(1+2^(-'⚙ Parámetros'!F15*(G24-'⚙ Parámetros'!E15))),1)+20/100*MAX('⚙ Parámetros'!D15/(1+2^(-'⚙ Parámetros'!C15*(H24-'⚙ Parámetros'!B15))),'⚙ Parámetros'!G15/(1+2^(-'⚙ Parámetros'!F15*(H24-'⚙ Parámetros'!E15))),1)+20/100*MAX('⚙ Parámetros'!D15/(1+2^(-'⚙ Parámetros'!C15*(I24-'⚙ Parámetros'!B15))),'⚙ Parámetros'!G15/(1+2^(-'⚙ Parámetros'!F15*(I24-'⚙ Parámetros'!E15))),1)),0)</f>
        <v>8.242064453598255</v>
      </c>
      <c r="AC24" s="89">
        <f>IFERROR((35/100*MAX('⚙ Parámetros'!D16/(1+2^(-'⚙ Parámetros'!C16*(J24-'⚙ Parámetros'!B16))),'⚙ Parámetros'!G16/(1+2^(-'⚙ Parámetros'!F16*(J24-'⚙ Parámetros'!E16))),1)*J24+25/100*MAX('⚙ Parámetros'!D16/(1+2^(-'⚙ Parámetros'!C16*(K24-'⚙ Parámetros'!B16))),'⚙ Parámetros'!G16/(1+2^(-'⚙ Parámetros'!F16*(K24-'⚙ Parámetros'!E16))),1)*K24+20/100*MAX('⚙ Parámetros'!D16/(1+2^(-'⚙ Parámetros'!C16*(L24-'⚙ Parámetros'!B16))),'⚙ Parámetros'!G16/(1+2^(-'⚙ Parámetros'!F16*(L24-'⚙ Parámetros'!E16))),1)*L24+20/100*MAX('⚙ Parámetros'!D16/(1+2^(-'⚙ Parámetros'!C16*(M24-'⚙ Parámetros'!B16))),'⚙ Parámetros'!G16/(1+2^(-'⚙ Parámetros'!F16*(M24-'⚙ Parámetros'!E16))),1)*M24)/(35/100*MAX('⚙ Parámetros'!D16/(1+2^(-'⚙ Parámetros'!C16*(J24-'⚙ Parámetros'!B16))),'⚙ Parámetros'!G16/(1+2^(-'⚙ Parámetros'!F16*(J24-'⚙ Parámetros'!E16))),1)+25/100*MAX('⚙ Parámetros'!D16/(1+2^(-'⚙ Parámetros'!C16*(K24-'⚙ Parámetros'!B16))),'⚙ Parámetros'!G16/(1+2^(-'⚙ Parámetros'!F16*(K24-'⚙ Parámetros'!E16))),1)+20/100*MAX('⚙ Parámetros'!D16/(1+2^(-'⚙ Parámetros'!C16*(L24-'⚙ Parámetros'!B16))),'⚙ Parámetros'!G16/(1+2^(-'⚙ Parámetros'!F16*(L24-'⚙ Parámetros'!E16))),1)+20/100*MAX('⚙ Parámetros'!D16/(1+2^(-'⚙ Parámetros'!C16*(M24-'⚙ Parámetros'!B16))),'⚙ Parámetros'!G16/(1+2^(-'⚙ Parámetros'!F16*(M24-'⚙ Parámetros'!E16))),1)),0)</f>
        <v>1.4000000000000001</v>
      </c>
      <c r="AD24" s="89">
        <f>IFERROR((30/100*MAX('⚙ Parámetros'!D17/(1+2^(-'⚙ Parámetros'!C17*(N24-'⚙ Parámetros'!B17))),'⚙ Parámetros'!G17/(1+2^(-'⚙ Parámetros'!F17*(N24-'⚙ Parámetros'!E17))),1)*N24+25/100*MAX('⚙ Parámetros'!D17/(1+2^(-'⚙ Parámetros'!C17*(O24-'⚙ Parámetros'!B17))),'⚙ Parámetros'!G17/(1+2^(-'⚙ Parámetros'!F17*(O24-'⚙ Parámetros'!E17))),1)*O24+25/100*MAX('⚙ Parámetros'!D17/(1+2^(-'⚙ Parámetros'!C17*(P24-'⚙ Parámetros'!B17))),'⚙ Parámetros'!G17/(1+2^(-'⚙ Parámetros'!F17*(P24-'⚙ Parámetros'!E17))),1)*P24+20/100*MAX('⚙ Parámetros'!D17/(1+2^(-'⚙ Parámetros'!C17*(Q24-'⚙ Parámetros'!B17))),'⚙ Parámetros'!G17/(1+2^(-'⚙ Parámetros'!F17*(Q24-'⚙ Parámetros'!E17))),1)*Q24)/(30/100*MAX('⚙ Parámetros'!D17/(1+2^(-'⚙ Parámetros'!C17*(N24-'⚙ Parámetros'!B17))),'⚙ Parámetros'!G17/(1+2^(-'⚙ Parámetros'!F17*(N24-'⚙ Parámetros'!E17))),1)+25/100*MAX('⚙ Parámetros'!D17/(1+2^(-'⚙ Parámetros'!C17*(O24-'⚙ Parámetros'!B17))),'⚙ Parámetros'!G17/(1+2^(-'⚙ Parámetros'!F17*(O24-'⚙ Parámetros'!E17))),1)+25/100*MAX('⚙ Parámetros'!D17/(1+2^(-'⚙ Parámetros'!C17*(P24-'⚙ Parámetros'!B17))),'⚙ Parámetros'!G17/(1+2^(-'⚙ Parámetros'!F17*(P24-'⚙ Parámetros'!E17))),1)+20/100*MAX('⚙ Parámetros'!D17/(1+2^(-'⚙ Parámetros'!C17*(Q24-'⚙ Parámetros'!B17))),'⚙ Parámetros'!G17/(1+2^(-'⚙ Parámetros'!F17*(Q24-'⚙ Parámetros'!E17))),1)),0)</f>
        <v>6.476839237057221</v>
      </c>
      <c r="AE24" s="89">
        <f>IFERROR((30/100*MAX('⚙ Parámetros'!D18/(1+2^(-'⚙ Parámetros'!C18*(R24-'⚙ Parámetros'!B18))),'⚙ Parámetros'!G18/(1+2^(-'⚙ Parámetros'!F18*(R24-'⚙ Parámetros'!E18))),1)*R24+30/100*MAX('⚙ Parámetros'!D18/(1+2^(-'⚙ Parámetros'!C18*(S24-'⚙ Parámetros'!B18))),'⚙ Parámetros'!G18/(1+2^(-'⚙ Parámetros'!F18*(S24-'⚙ Parámetros'!E18))),1)*S24+20/100*MAX('⚙ Parámetros'!D18/(1+2^(-'⚙ Parámetros'!C18*(T24-'⚙ Parámetros'!B18))),'⚙ Parámetros'!G18/(1+2^(-'⚙ Parámetros'!F18*(T24-'⚙ Parámetros'!E18))),1)*T24+20/100*MAX('⚙ Parámetros'!D18/(1+2^(-'⚙ Parámetros'!C18*(U24-'⚙ Parámetros'!B18))),'⚙ Parámetros'!G18/(1+2^(-'⚙ Parámetros'!F18*(U24-'⚙ Parámetros'!E18))),1)*U24)/(30/100*MAX('⚙ Parámetros'!D18/(1+2^(-'⚙ Parámetros'!C18*(R24-'⚙ Parámetros'!B18))),'⚙ Parámetros'!G18/(1+2^(-'⚙ Parámetros'!F18*(R24-'⚙ Parámetros'!E18))),1)+30/100*MAX('⚙ Parámetros'!D18/(1+2^(-'⚙ Parámetros'!C18*(S24-'⚙ Parámetros'!B18))),'⚙ Parámetros'!G18/(1+2^(-'⚙ Parámetros'!F18*(S24-'⚙ Parámetros'!E18))),1)+20/100*MAX('⚙ Parámetros'!D18/(1+2^(-'⚙ Parámetros'!C18*(T24-'⚙ Parámetros'!B18))),'⚙ Parámetros'!G18/(1+2^(-'⚙ Parámetros'!F18*(T24-'⚙ Parámetros'!E18))),1)+20/100*MAX('⚙ Parámetros'!D18/(1+2^(-'⚙ Parámetros'!C18*(U24-'⚙ Parámetros'!B18))),'⚙ Parámetros'!G18/(1+2^(-'⚙ Parámetros'!F18*(U24-'⚙ Parámetros'!E18))),1)),0)</f>
        <v>5.6428571428571441</v>
      </c>
      <c r="AF24" s="89">
        <f>IFERROR((30/100*MAX('⚙ Parámetros'!D19/(1+2^(-'⚙ Parámetros'!C19*(V24-'⚙ Parámetros'!B19))),'⚙ Parámetros'!G19/(1+2^(-'⚙ Parámetros'!F19*(V24-'⚙ Parámetros'!E19))),1)*V24+35/100*MAX('⚙ Parámetros'!D19/(1+2^(-'⚙ Parámetros'!C19*(W24-'⚙ Parámetros'!B19))),'⚙ Parámetros'!G19/(1+2^(-'⚙ Parámetros'!F19*(W24-'⚙ Parámetros'!E19))),1)*W24+35/100*MAX('⚙ Parámetros'!D19/(1+2^(-'⚙ Parámetros'!C19*(X24-'⚙ Parámetros'!B19))),'⚙ Parámetros'!G19/(1+2^(-'⚙ Parámetros'!F19*(X24-'⚙ Parámetros'!E19))),1)*X24)/(30/100*MAX('⚙ Parámetros'!D19/(1+2^(-'⚙ Parámetros'!C19*(V24-'⚙ Parámetros'!B19))),'⚙ Parámetros'!G19/(1+2^(-'⚙ Parámetros'!F19*(V24-'⚙ Parámetros'!E19))),1)+35/100*MAX('⚙ Parámetros'!D19/(1+2^(-'⚙ Parámetros'!C19*(W24-'⚙ Parámetros'!B19))),'⚙ Parámetros'!G19/(1+2^(-'⚙ Parámetros'!F19*(W24-'⚙ Parámetros'!E19))),1)+35/100*MAX('⚙ Parámetros'!D19/(1+2^(-'⚙ Parámetros'!C19*(X24-'⚙ Parámetros'!B19))),'⚙ Parámetros'!G19/(1+2^(-'⚙ Parámetros'!F19*(X24-'⚙ Parámetros'!E19))),1)),0)</f>
        <v>6.1538461538461542</v>
      </c>
      <c r="AG24" s="89">
        <f>IFERROR((35/100*MAX('⚙ Parámetros'!D20/(1+2^(-'⚙ Parámetros'!C20*(Y24-'⚙ Parámetros'!B20))),'⚙ Parámetros'!G20/(1+2^(-'⚙ Parámetros'!F20*(Y24-'⚙ Parámetros'!E20))),1)*Y24+35/100*MAX('⚙ Parámetros'!D20/(1+2^(-'⚙ Parámetros'!C20*(Z24-'⚙ Parámetros'!B20))),'⚙ Parámetros'!G20/(1+2^(-'⚙ Parámetros'!F20*(Z24-'⚙ Parámetros'!E20))),1)*Z24+30/100*MAX('⚙ Parámetros'!D20/(1+2^(-'⚙ Parámetros'!C20*(AA24-'⚙ Parámetros'!B20))),'⚙ Parámetros'!G20/(1+2^(-'⚙ Parámetros'!F20*(AA24-'⚙ Parámetros'!E20))),1)*AA24)/(35/100*MAX('⚙ Parámetros'!D20/(1+2^(-'⚙ Parámetros'!C20*(Y24-'⚙ Parámetros'!B20))),'⚙ Parámetros'!G20/(1+2^(-'⚙ Parámetros'!F20*(Y24-'⚙ Parámetros'!E20))),1)+35/100*MAX('⚙ Parámetros'!D20/(1+2^(-'⚙ Parámetros'!C20*(Z24-'⚙ Parámetros'!B20))),'⚙ Parámetros'!G20/(1+2^(-'⚙ Parámetros'!F20*(Z24-'⚙ Parámetros'!E20))),1)+30/100*MAX('⚙ Parámetros'!D20/(1+2^(-'⚙ Parámetros'!C20*(AA24-'⚙ Parámetros'!B20))),'⚙ Parámetros'!G20/(1+2^(-'⚙ Parámetros'!F20*(AA24-'⚙ Parámetros'!E20))),1)),0)</f>
        <v>3.7272727272727275</v>
      </c>
      <c r="AH24" s="90">
        <f>('⚙ Parámetros'!B5/100*AB24+'⚙ Parámetros'!B6/100*AC24+'⚙ Parámetros'!B7/100*AD24+'⚙ Parámetros'!B8/100*AE24+'⚙ Parámetros'!B9/100*AF24+'⚙ Parámetros'!B10/100*AG24)</f>
        <v>5.6386964742002119</v>
      </c>
      <c r="AI24" s="91">
        <f ca="1">MIN(1+MAX(0,TODAY()-DATE(2026,3,17))/365*'⚙ Parámetros'!B33,'⚙ Parámetros'!B34)</f>
        <v>1.0357534246575342</v>
      </c>
      <c r="AJ24" s="82">
        <f t="shared" ca="1" si="0"/>
        <v>5.8402991837572324</v>
      </c>
      <c r="AK24" s="92" t="str">
        <f ca="1">IF(AB24&gt;='⚙ Parámetros'!B23,"⚑ AUTO-PRIOR.(D1≥8)",IF(AJ24&gt;='⚙ Parámetros'!B23,"PRIORITARIO",IF(AJ24&gt;='⚙ Parámetros'!B24,"ALTA PRIORIDAD",IF(AJ24&gt;='⚙ Parámetros'!B25,"PRIORIDAD MEDIA",IF(AJ24&gt;='⚙ Parámetros'!B26,"BAJA PRIORIDAD","DESCARTAR")))))</f>
        <v>PRIORIDAD MEDIA</v>
      </c>
      <c r="AL24" s="29" t="str">
        <f t="shared" si="1"/>
        <v>SÍ ⚑</v>
      </c>
      <c r="AM24" s="85">
        <v>46</v>
      </c>
      <c r="AN24" s="83" t="str">
        <f>IF(AM24="","—",IF(AM24&lt;'⚙ Parámetros'!B29,"🟢 Corto",IF(AM24&lt;'⚙ Parámetros'!B30,"🟡 Medio","🔴 Largo")))</f>
        <v>🟡 Medio</v>
      </c>
    </row>
    <row r="25" spans="1:40" ht="18.75" customHeight="1" x14ac:dyDescent="0.25">
      <c r="A25" s="69">
        <v>21</v>
      </c>
      <c r="B25" s="70" t="s">
        <v>178</v>
      </c>
      <c r="C25" s="4" t="s">
        <v>135</v>
      </c>
      <c r="D25" s="71" t="s">
        <v>179</v>
      </c>
      <c r="E25" s="72" t="s">
        <v>180</v>
      </c>
      <c r="F25" s="74">
        <v>1</v>
      </c>
      <c r="G25" s="73">
        <v>7</v>
      </c>
      <c r="H25" s="74">
        <v>1</v>
      </c>
      <c r="I25" s="74">
        <v>1</v>
      </c>
      <c r="J25" s="74">
        <v>1</v>
      </c>
      <c r="K25" s="74">
        <v>1</v>
      </c>
      <c r="L25" s="75">
        <v>8</v>
      </c>
      <c r="M25" s="73">
        <v>3</v>
      </c>
      <c r="N25" s="73">
        <v>7</v>
      </c>
      <c r="O25" s="74">
        <v>1</v>
      </c>
      <c r="P25" s="73">
        <v>6</v>
      </c>
      <c r="Q25" s="74">
        <v>1</v>
      </c>
      <c r="R25" s="76">
        <v>9</v>
      </c>
      <c r="S25" s="76">
        <v>9</v>
      </c>
      <c r="T25" s="73">
        <v>5</v>
      </c>
      <c r="U25" s="73">
        <v>5</v>
      </c>
      <c r="V25" s="77">
        <v>8</v>
      </c>
      <c r="W25" s="73">
        <v>6</v>
      </c>
      <c r="X25" s="77">
        <v>9</v>
      </c>
      <c r="Y25" s="73">
        <v>4</v>
      </c>
      <c r="Z25" s="74">
        <v>2</v>
      </c>
      <c r="AA25" s="79">
        <v>5</v>
      </c>
      <c r="AB25" s="80">
        <f>IFERROR((30/100*MAX('⚙ Parámetros'!D15/(1+2^(-'⚙ Parámetros'!C15*(F25-'⚙ Parámetros'!B15))),'⚙ Parámetros'!G15/(1+2^(-'⚙ Parámetros'!F15*(F25-'⚙ Parámetros'!E15))),1)*F25+30/100*MAX('⚙ Parámetros'!D15/(1+2^(-'⚙ Parámetros'!C15*(G25-'⚙ Parámetros'!B15))),'⚙ Parámetros'!G15/(1+2^(-'⚙ Parámetros'!F15*(G25-'⚙ Parámetros'!E15))),1)*G25+20/100*MAX('⚙ Parámetros'!D15/(1+2^(-'⚙ Parámetros'!C15*(H25-'⚙ Parámetros'!B15))),'⚙ Parámetros'!G15/(1+2^(-'⚙ Parámetros'!F15*(H25-'⚙ Parámetros'!E15))),1)*H25+20/100*MAX('⚙ Parámetros'!D15/(1+2^(-'⚙ Parámetros'!C15*(I25-'⚙ Parámetros'!B15))),'⚙ Parámetros'!G15/(1+2^(-'⚙ Parámetros'!F15*(I25-'⚙ Parámetros'!E15))),1)*I25)/(30/100*MAX('⚙ Parámetros'!D15/(1+2^(-'⚙ Parámetros'!C15*(F25-'⚙ Parámetros'!B15))),'⚙ Parámetros'!G15/(1+2^(-'⚙ Parámetros'!F15*(F25-'⚙ Parámetros'!E15))),1)+30/100*MAX('⚙ Parámetros'!D15/(1+2^(-'⚙ Parámetros'!C15*(G25-'⚙ Parámetros'!B15))),'⚙ Parámetros'!G15/(1+2^(-'⚙ Parámetros'!F15*(G25-'⚙ Parámetros'!E15))),1)+20/100*MAX('⚙ Parámetros'!D15/(1+2^(-'⚙ Parámetros'!C15*(H25-'⚙ Parámetros'!B15))),'⚙ Parámetros'!G15/(1+2^(-'⚙ Parámetros'!F15*(H25-'⚙ Parámetros'!E15))),1)+20/100*MAX('⚙ Parámetros'!D15/(1+2^(-'⚙ Parámetros'!C15*(I25-'⚙ Parámetros'!B15))),'⚙ Parámetros'!G15/(1+2^(-'⚙ Parámetros'!F15*(I25-'⚙ Parámetros'!E15))),1)),0)</f>
        <v>4.9512195121951219</v>
      </c>
      <c r="AC25" s="80">
        <f>IFERROR((35/100*MAX('⚙ Parámetros'!D16/(1+2^(-'⚙ Parámetros'!C16*(J25-'⚙ Parámetros'!B16))),'⚙ Parámetros'!G16/(1+2^(-'⚙ Parámetros'!F16*(J25-'⚙ Parámetros'!E16))),1)*J25+25/100*MAX('⚙ Parámetros'!D16/(1+2^(-'⚙ Parámetros'!C16*(K25-'⚙ Parámetros'!B16))),'⚙ Parámetros'!G16/(1+2^(-'⚙ Parámetros'!F16*(K25-'⚙ Parámetros'!E16))),1)*K25+20/100*MAX('⚙ Parámetros'!D16/(1+2^(-'⚙ Parámetros'!C16*(L25-'⚙ Parámetros'!B16))),'⚙ Parámetros'!G16/(1+2^(-'⚙ Parámetros'!F16*(L25-'⚙ Parámetros'!E16))),1)*L25+20/100*MAX('⚙ Parámetros'!D16/(1+2^(-'⚙ Parámetros'!C16*(M25-'⚙ Parámetros'!B16))),'⚙ Parámetros'!G16/(1+2^(-'⚙ Parámetros'!F16*(M25-'⚙ Parámetros'!E16))),1)*M25)/(35/100*MAX('⚙ Parámetros'!D16/(1+2^(-'⚙ Parámetros'!C16*(J25-'⚙ Parámetros'!B16))),'⚙ Parámetros'!G16/(1+2^(-'⚙ Parámetros'!F16*(J25-'⚙ Parámetros'!E16))),1)+25/100*MAX('⚙ Parámetros'!D16/(1+2^(-'⚙ Parámetros'!C16*(K25-'⚙ Parámetros'!B16))),'⚙ Parámetros'!G16/(1+2^(-'⚙ Parámetros'!F16*(K25-'⚙ Parámetros'!E16))),1)+20/100*MAX('⚙ Parámetros'!D16/(1+2^(-'⚙ Parámetros'!C16*(L25-'⚙ Parámetros'!B16))),'⚙ Parámetros'!G16/(1+2^(-'⚙ Parámetros'!F16*(L25-'⚙ Parámetros'!E16))),1)+20/100*MAX('⚙ Parámetros'!D16/(1+2^(-'⚙ Parámetros'!C16*(M25-'⚙ Parámetros'!B16))),'⚙ Parámetros'!G16/(1+2^(-'⚙ Parámetros'!F16*(M25-'⚙ Parámetros'!E16))),1)),0)</f>
        <v>4.9411764705882355</v>
      </c>
      <c r="AD25" s="80">
        <f>IFERROR((30/100*MAX('⚙ Parámetros'!D17/(1+2^(-'⚙ Parámetros'!C17*(N25-'⚙ Parámetros'!B17))),'⚙ Parámetros'!G17/(1+2^(-'⚙ Parámetros'!F17*(N25-'⚙ Parámetros'!E17))),1)*N25+25/100*MAX('⚙ Parámetros'!D17/(1+2^(-'⚙ Parámetros'!C17*(O25-'⚙ Parámetros'!B17))),'⚙ Parámetros'!G17/(1+2^(-'⚙ Parámetros'!F17*(O25-'⚙ Parámetros'!E17))),1)*O25+25/100*MAX('⚙ Parámetros'!D17/(1+2^(-'⚙ Parámetros'!C17*(P25-'⚙ Parámetros'!B17))),'⚙ Parámetros'!G17/(1+2^(-'⚙ Parámetros'!F17*(P25-'⚙ Parámetros'!E17))),1)*P25+20/100*MAX('⚙ Parámetros'!D17/(1+2^(-'⚙ Parámetros'!C17*(Q25-'⚙ Parámetros'!B17))),'⚙ Parámetros'!G17/(1+2^(-'⚙ Parámetros'!F17*(Q25-'⚙ Parámetros'!E17))),1)*Q25)/(30/100*MAX('⚙ Parámetros'!D17/(1+2^(-'⚙ Parámetros'!C17*(N25-'⚙ Parámetros'!B17))),'⚙ Parámetros'!G17/(1+2^(-'⚙ Parámetros'!F17*(N25-'⚙ Parámetros'!E17))),1)+25/100*MAX('⚙ Parámetros'!D17/(1+2^(-'⚙ Parámetros'!C17*(O25-'⚙ Parámetros'!B17))),'⚙ Parámetros'!G17/(1+2^(-'⚙ Parámetros'!F17*(O25-'⚙ Parámetros'!E17))),1)+25/100*MAX('⚙ Parámetros'!D17/(1+2^(-'⚙ Parámetros'!C17*(P25-'⚙ Parámetros'!B17))),'⚙ Parámetros'!G17/(1+2^(-'⚙ Parámetros'!F17*(P25-'⚙ Parámetros'!E17))),1)+20/100*MAX('⚙ Parámetros'!D17/(1+2^(-'⚙ Parámetros'!C17*(Q25-'⚙ Parámetros'!B17))),'⚙ Parámetros'!G17/(1+2^(-'⚙ Parámetros'!F17*(Q25-'⚙ Parámetros'!E17))),1)),0)</f>
        <v>5.2162162162162158</v>
      </c>
      <c r="AE25" s="80">
        <f>IFERROR((30/100*MAX('⚙ Parámetros'!D18/(1+2^(-'⚙ Parámetros'!C18*(R25-'⚙ Parámetros'!B18))),'⚙ Parámetros'!G18/(1+2^(-'⚙ Parámetros'!F18*(R25-'⚙ Parámetros'!E18))),1)*R25+30/100*MAX('⚙ Parámetros'!D18/(1+2^(-'⚙ Parámetros'!C18*(S25-'⚙ Parámetros'!B18))),'⚙ Parámetros'!G18/(1+2^(-'⚙ Parámetros'!F18*(S25-'⚙ Parámetros'!E18))),1)*S25+20/100*MAX('⚙ Parámetros'!D18/(1+2^(-'⚙ Parámetros'!C18*(T25-'⚙ Parámetros'!B18))),'⚙ Parámetros'!G18/(1+2^(-'⚙ Parámetros'!F18*(T25-'⚙ Parámetros'!E18))),1)*T25+20/100*MAX('⚙ Parámetros'!D18/(1+2^(-'⚙ Parámetros'!C18*(U25-'⚙ Parámetros'!B18))),'⚙ Parámetros'!G18/(1+2^(-'⚙ Parámetros'!F18*(U25-'⚙ Parámetros'!E18))),1)*U25)/(30/100*MAX('⚙ Parámetros'!D18/(1+2^(-'⚙ Parámetros'!C18*(R25-'⚙ Parámetros'!B18))),'⚙ Parámetros'!G18/(1+2^(-'⚙ Parámetros'!F18*(R25-'⚙ Parámetros'!E18))),1)+30/100*MAX('⚙ Parámetros'!D18/(1+2^(-'⚙ Parámetros'!C18*(S25-'⚙ Parámetros'!B18))),'⚙ Parámetros'!G18/(1+2^(-'⚙ Parámetros'!F18*(S25-'⚙ Parámetros'!E18))),1)+20/100*MAX('⚙ Parámetros'!D18/(1+2^(-'⚙ Parámetros'!C18*(T25-'⚙ Parámetros'!B18))),'⚙ Parámetros'!G18/(1+2^(-'⚙ Parámetros'!F18*(T25-'⚙ Parámetros'!E18))),1)+20/100*MAX('⚙ Parámetros'!D18/(1+2^(-'⚙ Parámetros'!C18*(U25-'⚙ Parámetros'!B18))),'⚙ Parámetros'!G18/(1+2^(-'⚙ Parámetros'!F18*(U25-'⚙ Parámetros'!E18))),1)),0)</f>
        <v>8.1801060365339655</v>
      </c>
      <c r="AF25" s="80">
        <f>IFERROR((30/100*MAX('⚙ Parámetros'!D19/(1+2^(-'⚙ Parámetros'!C19*(V25-'⚙ Parámetros'!B19))),'⚙ Parámetros'!G19/(1+2^(-'⚙ Parámetros'!F19*(V25-'⚙ Parámetros'!E19))),1)*V25+35/100*MAX('⚙ Parámetros'!D19/(1+2^(-'⚙ Parámetros'!C19*(W25-'⚙ Parámetros'!B19))),'⚙ Parámetros'!G19/(1+2^(-'⚙ Parámetros'!F19*(W25-'⚙ Parámetros'!E19))),1)*W25+35/100*MAX('⚙ Parámetros'!D19/(1+2^(-'⚙ Parámetros'!C19*(X25-'⚙ Parámetros'!B19))),'⚙ Parámetros'!G19/(1+2^(-'⚙ Parámetros'!F19*(X25-'⚙ Parámetros'!E19))),1)*X25)/(30/100*MAX('⚙ Parámetros'!D19/(1+2^(-'⚙ Parámetros'!C19*(V25-'⚙ Parámetros'!B19))),'⚙ Parámetros'!G19/(1+2^(-'⚙ Parámetros'!F19*(V25-'⚙ Parámetros'!E19))),1)+35/100*MAX('⚙ Parámetros'!D19/(1+2^(-'⚙ Parámetros'!C19*(W25-'⚙ Parámetros'!B19))),'⚙ Parámetros'!G19/(1+2^(-'⚙ Parámetros'!F19*(W25-'⚙ Parámetros'!E19))),1)+35/100*MAX('⚙ Parámetros'!D19/(1+2^(-'⚙ Parámetros'!C19*(X25-'⚙ Parámetros'!B19))),'⚙ Parámetros'!G19/(1+2^(-'⚙ Parámetros'!F19*(X25-'⚙ Parámetros'!E19))),1)),0)</f>
        <v>8.0351483057098907</v>
      </c>
      <c r="AG25" s="80">
        <f>IFERROR((35/100*MAX('⚙ Parámetros'!D20/(1+2^(-'⚙ Parámetros'!C20*(Y25-'⚙ Parámetros'!B20))),'⚙ Parámetros'!G20/(1+2^(-'⚙ Parámetros'!F20*(Y25-'⚙ Parámetros'!E20))),1)*Y25+35/100*MAX('⚙ Parámetros'!D20/(1+2^(-'⚙ Parámetros'!C20*(Z25-'⚙ Parámetros'!B20))),'⚙ Parámetros'!G20/(1+2^(-'⚙ Parámetros'!F20*(Z25-'⚙ Parámetros'!E20))),1)*Z25+30/100*MAX('⚙ Parámetros'!D20/(1+2^(-'⚙ Parámetros'!C20*(AA25-'⚙ Parámetros'!B20))),'⚙ Parámetros'!G20/(1+2^(-'⚙ Parámetros'!F20*(AA25-'⚙ Parámetros'!E20))),1)*AA25)/(35/100*MAX('⚙ Parámetros'!D20/(1+2^(-'⚙ Parámetros'!C20*(Y25-'⚙ Parámetros'!B20))),'⚙ Parámetros'!G20/(1+2^(-'⚙ Parámetros'!F20*(Y25-'⚙ Parámetros'!E20))),1)+35/100*MAX('⚙ Parámetros'!D20/(1+2^(-'⚙ Parámetros'!C20*(Z25-'⚙ Parámetros'!B20))),'⚙ Parámetros'!G20/(1+2^(-'⚙ Parámetros'!F20*(Z25-'⚙ Parámetros'!E20))),1)+30/100*MAX('⚙ Parámetros'!D20/(1+2^(-'⚙ Parámetros'!C20*(AA25-'⚙ Parámetros'!B20))),'⚙ Parámetros'!G20/(1+2^(-'⚙ Parámetros'!F20*(AA25-'⚙ Parámetros'!E20))),1)),0)</f>
        <v>3.7272727272727275</v>
      </c>
      <c r="AH25" s="81">
        <f>('⚙ Parámetros'!B5/100*AB25+'⚙ Parámetros'!B6/100*AC25+'⚙ Parámetros'!B7/100*AD25+'⚙ Parámetros'!B8/100*AE25+'⚙ Parámetros'!B9/100*AF25+'⚙ Parámetros'!B10/100*AG25)</f>
        <v>5.6001537641563095</v>
      </c>
      <c r="AI25" s="33">
        <f ca="1">MIN(1+MAX(0,TODAY()-DATE(2026,2,2))/365*'⚙ Parámetros'!B33,'⚙ Parámetros'!B34)</f>
        <v>1.0534246575342465</v>
      </c>
      <c r="AJ25" s="82">
        <f t="shared" ca="1" si="0"/>
        <v>5.899340061145482</v>
      </c>
      <c r="AK25" s="83" t="str">
        <f ca="1">IF(AB25&gt;='⚙ Parámetros'!B23,"⚑ AUTO-PRIOR.(D1≥8)",IF(AJ25&gt;='⚙ Parámetros'!B23,"PRIORITARIO",IF(AJ25&gt;='⚙ Parámetros'!B24,"ALTA PRIORIDAD",IF(AJ25&gt;='⚙ Parámetros'!B25,"PRIORIDAD MEDIA",IF(AJ25&gt;='⚙ Parámetros'!B26,"BAJA PRIORIDAD","DESCARTAR")))))</f>
        <v>PRIORIDAD MEDIA</v>
      </c>
      <c r="AL25" s="84" t="str">
        <f t="shared" si="1"/>
        <v>—</v>
      </c>
      <c r="AM25" s="85">
        <v>24</v>
      </c>
      <c r="AN25" s="83" t="str">
        <f>IF(AM25="","—",IF(AM25&lt;'⚙ Parámetros'!B29,"🟢 Corto",IF(AM25&lt;'⚙ Parámetros'!B30,"🟡 Medio","🔴 Largo")))</f>
        <v>🟢 Corto</v>
      </c>
    </row>
    <row r="26" spans="1:40" ht="18.75" customHeight="1" x14ac:dyDescent="0.25">
      <c r="A26" s="69">
        <v>22</v>
      </c>
      <c r="B26" s="30" t="s">
        <v>181</v>
      </c>
      <c r="C26" s="26" t="s">
        <v>182</v>
      </c>
      <c r="D26" s="71" t="s">
        <v>139</v>
      </c>
      <c r="E26" s="72" t="s">
        <v>183</v>
      </c>
      <c r="F26" s="86">
        <v>6</v>
      </c>
      <c r="G26" s="86">
        <v>5</v>
      </c>
      <c r="H26" s="74">
        <v>1</v>
      </c>
      <c r="I26" s="74">
        <v>1</v>
      </c>
      <c r="J26" s="74">
        <v>1</v>
      </c>
      <c r="K26" s="74">
        <v>1</v>
      </c>
      <c r="L26" s="75">
        <v>8</v>
      </c>
      <c r="M26" s="86">
        <v>3</v>
      </c>
      <c r="N26" s="74">
        <v>1</v>
      </c>
      <c r="O26" s="86">
        <v>6</v>
      </c>
      <c r="P26" s="74">
        <v>1</v>
      </c>
      <c r="Q26" s="87">
        <v>8</v>
      </c>
      <c r="R26" s="76">
        <v>9</v>
      </c>
      <c r="S26" s="76">
        <v>9</v>
      </c>
      <c r="T26" s="86">
        <v>5</v>
      </c>
      <c r="U26" s="86">
        <v>5</v>
      </c>
      <c r="V26" s="77">
        <v>8</v>
      </c>
      <c r="W26" s="86">
        <v>6</v>
      </c>
      <c r="X26" s="77">
        <v>9</v>
      </c>
      <c r="Y26" s="86">
        <v>4</v>
      </c>
      <c r="Z26" s="74">
        <v>2</v>
      </c>
      <c r="AA26" s="88">
        <v>8</v>
      </c>
      <c r="AB26" s="89">
        <f>IFERROR((30/100*MAX('⚙ Parámetros'!D15/(1+2^(-'⚙ Parámetros'!C15*(F26-'⚙ Parámetros'!B15))),'⚙ Parámetros'!G15/(1+2^(-'⚙ Parámetros'!F15*(F26-'⚙ Parámetros'!E15))),1)*F26+30/100*MAX('⚙ Parámetros'!D15/(1+2^(-'⚙ Parámetros'!C15*(G26-'⚙ Parámetros'!B15))),'⚙ Parámetros'!G15/(1+2^(-'⚙ Parámetros'!F15*(G26-'⚙ Parámetros'!E15))),1)*G26+20/100*MAX('⚙ Parámetros'!D15/(1+2^(-'⚙ Parámetros'!C15*(H26-'⚙ Parámetros'!B15))),'⚙ Parámetros'!G15/(1+2^(-'⚙ Parámetros'!F15*(H26-'⚙ Parámetros'!E15))),1)*H26+20/100*MAX('⚙ Parámetros'!D15/(1+2^(-'⚙ Parámetros'!C15*(I26-'⚙ Parámetros'!B15))),'⚙ Parámetros'!G15/(1+2^(-'⚙ Parámetros'!F15*(I26-'⚙ Parámetros'!E15))),1)*I26)/(30/100*MAX('⚙ Parámetros'!D15/(1+2^(-'⚙ Parámetros'!C15*(F26-'⚙ Parámetros'!B15))),'⚙ Parámetros'!G15/(1+2^(-'⚙ Parámetros'!F15*(F26-'⚙ Parámetros'!E15))),1)+30/100*MAX('⚙ Parámetros'!D15/(1+2^(-'⚙ Parámetros'!C15*(G26-'⚙ Parámetros'!B15))),'⚙ Parámetros'!G15/(1+2^(-'⚙ Parámetros'!F15*(G26-'⚙ Parámetros'!E15))),1)+20/100*MAX('⚙ Parámetros'!D15/(1+2^(-'⚙ Parámetros'!C15*(H26-'⚙ Parámetros'!B15))),'⚙ Parámetros'!G15/(1+2^(-'⚙ Parámetros'!F15*(H26-'⚙ Parámetros'!E15))),1)+20/100*MAX('⚙ Parámetros'!D15/(1+2^(-'⚙ Parámetros'!C15*(I26-'⚙ Parámetros'!B15))),'⚙ Parámetros'!G15/(1+2^(-'⚙ Parámetros'!F15*(I26-'⚙ Parámetros'!E15))),1)),0)</f>
        <v>4.2535211267605639</v>
      </c>
      <c r="AC26" s="89">
        <f>IFERROR((35/100*MAX('⚙ Parámetros'!D16/(1+2^(-'⚙ Parámetros'!C16*(J26-'⚙ Parámetros'!B16))),'⚙ Parámetros'!G16/(1+2^(-'⚙ Parámetros'!F16*(J26-'⚙ Parámetros'!E16))),1)*J26+25/100*MAX('⚙ Parámetros'!D16/(1+2^(-'⚙ Parámetros'!C16*(K26-'⚙ Parámetros'!B16))),'⚙ Parámetros'!G16/(1+2^(-'⚙ Parámetros'!F16*(K26-'⚙ Parámetros'!E16))),1)*K26+20/100*MAX('⚙ Parámetros'!D16/(1+2^(-'⚙ Parámetros'!C16*(L26-'⚙ Parámetros'!B16))),'⚙ Parámetros'!G16/(1+2^(-'⚙ Parámetros'!F16*(L26-'⚙ Parámetros'!E16))),1)*L26+20/100*MAX('⚙ Parámetros'!D16/(1+2^(-'⚙ Parámetros'!C16*(M26-'⚙ Parámetros'!B16))),'⚙ Parámetros'!G16/(1+2^(-'⚙ Parámetros'!F16*(M26-'⚙ Parámetros'!E16))),1)*M26)/(35/100*MAX('⚙ Parámetros'!D16/(1+2^(-'⚙ Parámetros'!C16*(J26-'⚙ Parámetros'!B16))),'⚙ Parámetros'!G16/(1+2^(-'⚙ Parámetros'!F16*(J26-'⚙ Parámetros'!E16))),1)+25/100*MAX('⚙ Parámetros'!D16/(1+2^(-'⚙ Parámetros'!C16*(K26-'⚙ Parámetros'!B16))),'⚙ Parámetros'!G16/(1+2^(-'⚙ Parámetros'!F16*(K26-'⚙ Parámetros'!E16))),1)+20/100*MAX('⚙ Parámetros'!D16/(1+2^(-'⚙ Parámetros'!C16*(L26-'⚙ Parámetros'!B16))),'⚙ Parámetros'!G16/(1+2^(-'⚙ Parámetros'!F16*(L26-'⚙ Parámetros'!E16))),1)+20/100*MAX('⚙ Parámetros'!D16/(1+2^(-'⚙ Parámetros'!C16*(M26-'⚙ Parámetros'!B16))),'⚙ Parámetros'!G16/(1+2^(-'⚙ Parámetros'!F16*(M26-'⚙ Parámetros'!E16))),1)),0)</f>
        <v>4.9411764705882355</v>
      </c>
      <c r="AD26" s="89">
        <f>IFERROR((30/100*MAX('⚙ Parámetros'!D17/(1+2^(-'⚙ Parámetros'!C17*(N26-'⚙ Parámetros'!B17))),'⚙ Parámetros'!G17/(1+2^(-'⚙ Parámetros'!F17*(N26-'⚙ Parámetros'!E17))),1)*N26+25/100*MAX('⚙ Parámetros'!D17/(1+2^(-'⚙ Parámetros'!C17*(O26-'⚙ Parámetros'!B17))),'⚙ Parámetros'!G17/(1+2^(-'⚙ Parámetros'!F17*(O26-'⚙ Parámetros'!E17))),1)*O26+25/100*MAX('⚙ Parámetros'!D17/(1+2^(-'⚙ Parámetros'!C17*(P26-'⚙ Parámetros'!B17))),'⚙ Parámetros'!G17/(1+2^(-'⚙ Parámetros'!F17*(P26-'⚙ Parámetros'!E17))),1)*P26+20/100*MAX('⚙ Parámetros'!D17/(1+2^(-'⚙ Parámetros'!C17*(Q26-'⚙ Parámetros'!B17))),'⚙ Parámetros'!G17/(1+2^(-'⚙ Parámetros'!F17*(Q26-'⚙ Parámetros'!E17))),1)*Q26)/(30/100*MAX('⚙ Parámetros'!D17/(1+2^(-'⚙ Parámetros'!C17*(N26-'⚙ Parámetros'!B17))),'⚙ Parámetros'!G17/(1+2^(-'⚙ Parámetros'!F17*(N26-'⚙ Parámetros'!E17))),1)+25/100*MAX('⚙ Parámetros'!D17/(1+2^(-'⚙ Parámetros'!C17*(O26-'⚙ Parámetros'!B17))),'⚙ Parámetros'!G17/(1+2^(-'⚙ Parámetros'!F17*(O26-'⚙ Parámetros'!E17))),1)+25/100*MAX('⚙ Parámetros'!D17/(1+2^(-'⚙ Parámetros'!C17*(P26-'⚙ Parámetros'!B17))),'⚙ Parámetros'!G17/(1+2^(-'⚙ Parámetros'!F17*(P26-'⚙ Parámetros'!E17))),1)+20/100*MAX('⚙ Parámetros'!D17/(1+2^(-'⚙ Parámetros'!C17*(Q26-'⚙ Parámetros'!B17))),'⚙ Parámetros'!G17/(1+2^(-'⚙ Parámetros'!F17*(Q26-'⚙ Parámetros'!E17))),1)),0)</f>
        <v>5.4102564102564106</v>
      </c>
      <c r="AE26" s="89">
        <f>IFERROR((30/100*MAX('⚙ Parámetros'!D18/(1+2^(-'⚙ Parámetros'!C18*(R26-'⚙ Parámetros'!B18))),'⚙ Parámetros'!G18/(1+2^(-'⚙ Parámetros'!F18*(R26-'⚙ Parámetros'!E18))),1)*R26+30/100*MAX('⚙ Parámetros'!D18/(1+2^(-'⚙ Parámetros'!C18*(S26-'⚙ Parámetros'!B18))),'⚙ Parámetros'!G18/(1+2^(-'⚙ Parámetros'!F18*(S26-'⚙ Parámetros'!E18))),1)*S26+20/100*MAX('⚙ Parámetros'!D18/(1+2^(-'⚙ Parámetros'!C18*(T26-'⚙ Parámetros'!B18))),'⚙ Parámetros'!G18/(1+2^(-'⚙ Parámetros'!F18*(T26-'⚙ Parámetros'!E18))),1)*T26+20/100*MAX('⚙ Parámetros'!D18/(1+2^(-'⚙ Parámetros'!C18*(U26-'⚙ Parámetros'!B18))),'⚙ Parámetros'!G18/(1+2^(-'⚙ Parámetros'!F18*(U26-'⚙ Parámetros'!E18))),1)*U26)/(30/100*MAX('⚙ Parámetros'!D18/(1+2^(-'⚙ Parámetros'!C18*(R26-'⚙ Parámetros'!B18))),'⚙ Parámetros'!G18/(1+2^(-'⚙ Parámetros'!F18*(R26-'⚙ Parámetros'!E18))),1)+30/100*MAX('⚙ Parámetros'!D18/(1+2^(-'⚙ Parámetros'!C18*(S26-'⚙ Parámetros'!B18))),'⚙ Parámetros'!G18/(1+2^(-'⚙ Parámetros'!F18*(S26-'⚙ Parámetros'!E18))),1)+20/100*MAX('⚙ Parámetros'!D18/(1+2^(-'⚙ Parámetros'!C18*(T26-'⚙ Parámetros'!B18))),'⚙ Parámetros'!G18/(1+2^(-'⚙ Parámetros'!F18*(T26-'⚙ Parámetros'!E18))),1)+20/100*MAX('⚙ Parámetros'!D18/(1+2^(-'⚙ Parámetros'!C18*(U26-'⚙ Parámetros'!B18))),'⚙ Parámetros'!G18/(1+2^(-'⚙ Parámetros'!F18*(U26-'⚙ Parámetros'!E18))),1)),0)</f>
        <v>8.1801060365339655</v>
      </c>
      <c r="AF26" s="89">
        <f>IFERROR((30/100*MAX('⚙ Parámetros'!D19/(1+2^(-'⚙ Parámetros'!C19*(V26-'⚙ Parámetros'!B19))),'⚙ Parámetros'!G19/(1+2^(-'⚙ Parámetros'!F19*(V26-'⚙ Parámetros'!E19))),1)*V26+35/100*MAX('⚙ Parámetros'!D19/(1+2^(-'⚙ Parámetros'!C19*(W26-'⚙ Parámetros'!B19))),'⚙ Parámetros'!G19/(1+2^(-'⚙ Parámetros'!F19*(W26-'⚙ Parámetros'!E19))),1)*W26+35/100*MAX('⚙ Parámetros'!D19/(1+2^(-'⚙ Parámetros'!C19*(X26-'⚙ Parámetros'!B19))),'⚙ Parámetros'!G19/(1+2^(-'⚙ Parámetros'!F19*(X26-'⚙ Parámetros'!E19))),1)*X26)/(30/100*MAX('⚙ Parámetros'!D19/(1+2^(-'⚙ Parámetros'!C19*(V26-'⚙ Parámetros'!B19))),'⚙ Parámetros'!G19/(1+2^(-'⚙ Parámetros'!F19*(V26-'⚙ Parámetros'!E19))),1)+35/100*MAX('⚙ Parámetros'!D19/(1+2^(-'⚙ Parámetros'!C19*(W26-'⚙ Parámetros'!B19))),'⚙ Parámetros'!G19/(1+2^(-'⚙ Parámetros'!F19*(W26-'⚙ Parámetros'!E19))),1)+35/100*MAX('⚙ Parámetros'!D19/(1+2^(-'⚙ Parámetros'!C19*(X26-'⚙ Parámetros'!B19))),'⚙ Parámetros'!G19/(1+2^(-'⚙ Parámetros'!F19*(X26-'⚙ Parámetros'!E19))),1)),0)</f>
        <v>8.0351483057098907</v>
      </c>
      <c r="AG26" s="89">
        <f>IFERROR((35/100*MAX('⚙ Parámetros'!D20/(1+2^(-'⚙ Parámetros'!C20*(Y26-'⚙ Parámetros'!B20))),'⚙ Parámetros'!G20/(1+2^(-'⚙ Parámetros'!F20*(Y26-'⚙ Parámetros'!E20))),1)*Y26+35/100*MAX('⚙ Parámetros'!D20/(1+2^(-'⚙ Parámetros'!C20*(Z26-'⚙ Parámetros'!B20))),'⚙ Parámetros'!G20/(1+2^(-'⚙ Parámetros'!F20*(Z26-'⚙ Parámetros'!E20))),1)*Z26+30/100*MAX('⚙ Parámetros'!D20/(1+2^(-'⚙ Parámetros'!C20*(AA26-'⚙ Parámetros'!B20))),'⚙ Parámetros'!G20/(1+2^(-'⚙ Parámetros'!F20*(AA26-'⚙ Parámetros'!E20))),1)*AA26)/(35/100*MAX('⚙ Parámetros'!D20/(1+2^(-'⚙ Parámetros'!C20*(Y26-'⚙ Parámetros'!B20))),'⚙ Parámetros'!G20/(1+2^(-'⚙ Parámetros'!F20*(Y26-'⚙ Parámetros'!E20))),1)+35/100*MAX('⚙ Parámetros'!D20/(1+2^(-'⚙ Parámetros'!C20*(Z26-'⚙ Parámetros'!B20))),'⚙ Parámetros'!G20/(1+2^(-'⚙ Parámetros'!F20*(Z26-'⚙ Parámetros'!E20))),1)+30/100*MAX('⚙ Parámetros'!D20/(1+2^(-'⚙ Parámetros'!C20*(AA26-'⚙ Parámetros'!B20))),'⚙ Parámetros'!G20/(1+2^(-'⚙ Parámetros'!F20*(AA26-'⚙ Parámetros'!E20))),1)),0)</f>
        <v>5.8125</v>
      </c>
      <c r="AH26" s="90">
        <f>('⚙ Parámetros'!B5/100*AB26+'⚙ Parámetros'!B6/100*AC26+'⚙ Parámetros'!B7/100*AD26+'⚙ Parámetros'!B8/100*AE26+'⚙ Parámetros'!B9/100*AF26+'⚙ Parámetros'!B10/100*AG26)</f>
        <v>5.5964704691521625</v>
      </c>
      <c r="AI26" s="91">
        <f ca="1">MIN(1+MAX(0,TODAY()-DATE(2026,1,20))/365*'⚙ Parámetros'!B33,'⚙ Parámetros'!B34)</f>
        <v>1.0587671232876712</v>
      </c>
      <c r="AJ26" s="82">
        <f t="shared" ca="1" si="0"/>
        <v>5.925358939188639</v>
      </c>
      <c r="AK26" s="92" t="str">
        <f ca="1">IF(AB26&gt;='⚙ Parámetros'!B23,"⚑ AUTO-PRIOR.(D1≥8)",IF(AJ26&gt;='⚙ Parámetros'!B23,"PRIORITARIO",IF(AJ26&gt;='⚙ Parámetros'!B24,"ALTA PRIORIDAD",IF(AJ26&gt;='⚙ Parámetros'!B25,"PRIORIDAD MEDIA",IF(AJ26&gt;='⚙ Parámetros'!B26,"BAJA PRIORIDAD","DESCARTAR")))))</f>
        <v>PRIORIDAD MEDIA</v>
      </c>
      <c r="AL26" s="69" t="str">
        <f t="shared" si="1"/>
        <v>—</v>
      </c>
      <c r="AM26" s="85">
        <v>22</v>
      </c>
      <c r="AN26" s="83" t="str">
        <f>IF(AM26="","—",IF(AM26&lt;'⚙ Parámetros'!B29,"🟢 Corto",IF(AM26&lt;'⚙ Parámetros'!B30,"🟡 Medio","🔴 Largo")))</f>
        <v>🟢 Corto</v>
      </c>
    </row>
    <row r="27" spans="1:40" ht="18.75" customHeight="1" x14ac:dyDescent="0.25">
      <c r="A27" s="69">
        <v>23</v>
      </c>
      <c r="B27" s="70" t="s">
        <v>184</v>
      </c>
      <c r="C27" s="4" t="s">
        <v>142</v>
      </c>
      <c r="D27" s="71" t="s">
        <v>163</v>
      </c>
      <c r="E27" s="72" t="s">
        <v>185</v>
      </c>
      <c r="F27" s="74">
        <v>8</v>
      </c>
      <c r="G27" s="74">
        <v>1</v>
      </c>
      <c r="H27" s="73">
        <v>7</v>
      </c>
      <c r="I27" s="74">
        <v>8</v>
      </c>
      <c r="J27" s="74">
        <v>1</v>
      </c>
      <c r="K27" s="74">
        <v>1</v>
      </c>
      <c r="L27" s="75">
        <v>8</v>
      </c>
      <c r="M27" s="73">
        <v>3</v>
      </c>
      <c r="N27" s="74">
        <v>1</v>
      </c>
      <c r="O27" s="74">
        <v>1</v>
      </c>
      <c r="P27" s="74">
        <v>1</v>
      </c>
      <c r="Q27" s="87">
        <v>8</v>
      </c>
      <c r="R27" s="73">
        <v>5</v>
      </c>
      <c r="S27" s="73">
        <v>5</v>
      </c>
      <c r="T27" s="73">
        <v>5</v>
      </c>
      <c r="U27" s="73">
        <v>5</v>
      </c>
      <c r="V27" s="73">
        <v>5</v>
      </c>
      <c r="W27" s="73">
        <v>6</v>
      </c>
      <c r="X27" s="73">
        <v>6</v>
      </c>
      <c r="Y27" s="73">
        <v>4</v>
      </c>
      <c r="Z27" s="74">
        <v>2</v>
      </c>
      <c r="AA27" s="79">
        <v>5</v>
      </c>
      <c r="AB27" s="80">
        <f>IFERROR((30/100*MAX('⚙ Parámetros'!D15/(1+2^(-'⚙ Parámetros'!C15*(F27-'⚙ Parámetros'!B15))),'⚙ Parámetros'!G15/(1+2^(-'⚙ Parámetros'!F15*(F27-'⚙ Parámetros'!E15))),1)*F27+30/100*MAX('⚙ Parámetros'!D15/(1+2^(-'⚙ Parámetros'!C15*(G27-'⚙ Parámetros'!B15))),'⚙ Parámetros'!G15/(1+2^(-'⚙ Parámetros'!F15*(G27-'⚙ Parámetros'!E15))),1)*G27+20/100*MAX('⚙ Parámetros'!D15/(1+2^(-'⚙ Parámetros'!C15*(H27-'⚙ Parámetros'!B15))),'⚙ Parámetros'!G15/(1+2^(-'⚙ Parámetros'!F15*(H27-'⚙ Parámetros'!E15))),1)*H27+20/100*MAX('⚙ Parámetros'!D15/(1+2^(-'⚙ Parámetros'!C15*(I27-'⚙ Parámetros'!B15))),'⚙ Parámetros'!G15/(1+2^(-'⚙ Parámetros'!F15*(I27-'⚙ Parámetros'!E15))),1)*I27)/(30/100*MAX('⚙ Parámetros'!D15/(1+2^(-'⚙ Parámetros'!C15*(F27-'⚙ Parámetros'!B15))),'⚙ Parámetros'!G15/(1+2^(-'⚙ Parámetros'!F15*(F27-'⚙ Parámetros'!E15))),1)+30/100*MAX('⚙ Parámetros'!D15/(1+2^(-'⚙ Parámetros'!C15*(G27-'⚙ Parámetros'!B15))),'⚙ Parámetros'!G15/(1+2^(-'⚙ Parámetros'!F15*(G27-'⚙ Parámetros'!E15))),1)+20/100*MAX('⚙ Parámetros'!D15/(1+2^(-'⚙ Parámetros'!C15*(H27-'⚙ Parámetros'!B15))),'⚙ Parámetros'!G15/(1+2^(-'⚙ Parámetros'!F15*(H27-'⚙ Parámetros'!E15))),1)+20/100*MAX('⚙ Parámetros'!D15/(1+2^(-'⚙ Parámetros'!C15*(I27-'⚙ Parámetros'!B15))),'⚙ Parámetros'!G15/(1+2^(-'⚙ Parámetros'!F15*(I27-'⚙ Parámetros'!E15))),1)),0)</f>
        <v>7.3750000000000018</v>
      </c>
      <c r="AC27" s="80">
        <f>IFERROR((35/100*MAX('⚙ Parámetros'!D16/(1+2^(-'⚙ Parámetros'!C16*(J27-'⚙ Parámetros'!B16))),'⚙ Parámetros'!G16/(1+2^(-'⚙ Parámetros'!F16*(J27-'⚙ Parámetros'!E16))),1)*J27+25/100*MAX('⚙ Parámetros'!D16/(1+2^(-'⚙ Parámetros'!C16*(K27-'⚙ Parámetros'!B16))),'⚙ Parámetros'!G16/(1+2^(-'⚙ Parámetros'!F16*(K27-'⚙ Parámetros'!E16))),1)*K27+20/100*MAX('⚙ Parámetros'!D16/(1+2^(-'⚙ Parámetros'!C16*(L27-'⚙ Parámetros'!B16))),'⚙ Parámetros'!G16/(1+2^(-'⚙ Parámetros'!F16*(L27-'⚙ Parámetros'!E16))),1)*L27+20/100*MAX('⚙ Parámetros'!D16/(1+2^(-'⚙ Parámetros'!C16*(M27-'⚙ Parámetros'!B16))),'⚙ Parámetros'!G16/(1+2^(-'⚙ Parámetros'!F16*(M27-'⚙ Parámetros'!E16))),1)*M27)/(35/100*MAX('⚙ Parámetros'!D16/(1+2^(-'⚙ Parámetros'!C16*(J27-'⚙ Parámetros'!B16))),'⚙ Parámetros'!G16/(1+2^(-'⚙ Parámetros'!F16*(J27-'⚙ Parámetros'!E16))),1)+25/100*MAX('⚙ Parámetros'!D16/(1+2^(-'⚙ Parámetros'!C16*(K27-'⚙ Parámetros'!B16))),'⚙ Parámetros'!G16/(1+2^(-'⚙ Parámetros'!F16*(K27-'⚙ Parámetros'!E16))),1)+20/100*MAX('⚙ Parámetros'!D16/(1+2^(-'⚙ Parámetros'!C16*(L27-'⚙ Parámetros'!B16))),'⚙ Parámetros'!G16/(1+2^(-'⚙ Parámetros'!F16*(L27-'⚙ Parámetros'!E16))),1)+20/100*MAX('⚙ Parámetros'!D16/(1+2^(-'⚙ Parámetros'!C16*(M27-'⚙ Parámetros'!B16))),'⚙ Parámetros'!G16/(1+2^(-'⚙ Parámetros'!F16*(M27-'⚙ Parámetros'!E16))),1)),0)</f>
        <v>4.9411764705882355</v>
      </c>
      <c r="AD27" s="80">
        <f>IFERROR((30/100*MAX('⚙ Parámetros'!D17/(1+2^(-'⚙ Parámetros'!C17*(N27-'⚙ Parámetros'!B17))),'⚙ Parámetros'!G17/(1+2^(-'⚙ Parámetros'!F17*(N27-'⚙ Parámetros'!E17))),1)*N27+25/100*MAX('⚙ Parámetros'!D17/(1+2^(-'⚙ Parámetros'!C17*(O27-'⚙ Parámetros'!B17))),'⚙ Parámetros'!G17/(1+2^(-'⚙ Parámetros'!F17*(O27-'⚙ Parámetros'!E17))),1)*O27+25/100*MAX('⚙ Parámetros'!D17/(1+2^(-'⚙ Parámetros'!C17*(P27-'⚙ Parámetros'!B17))),'⚙ Parámetros'!G17/(1+2^(-'⚙ Parámetros'!F17*(P27-'⚙ Parámetros'!E17))),1)*P27+20/100*MAX('⚙ Parámetros'!D17/(1+2^(-'⚙ Parámetros'!C17*(Q27-'⚙ Parámetros'!B17))),'⚙ Parámetros'!G17/(1+2^(-'⚙ Parámetros'!F17*(Q27-'⚙ Parámetros'!E17))),1)*Q27)/(30/100*MAX('⚙ Parámetros'!D17/(1+2^(-'⚙ Parámetros'!C17*(N27-'⚙ Parámetros'!B17))),'⚙ Parámetros'!G17/(1+2^(-'⚙ Parámetros'!F17*(N27-'⚙ Parámetros'!E17))),1)+25/100*MAX('⚙ Parámetros'!D17/(1+2^(-'⚙ Parámetros'!C17*(O27-'⚙ Parámetros'!B17))),'⚙ Parámetros'!G17/(1+2^(-'⚙ Parámetros'!F17*(O27-'⚙ Parámetros'!E17))),1)+25/100*MAX('⚙ Parámetros'!D17/(1+2^(-'⚙ Parámetros'!C17*(P27-'⚙ Parámetros'!B17))),'⚙ Parámetros'!G17/(1+2^(-'⚙ Parámetros'!F17*(P27-'⚙ Parámetros'!E17))),1)+20/100*MAX('⚙ Parámetros'!D17/(1+2^(-'⚙ Parámetros'!C17*(Q27-'⚙ Parámetros'!B17))),'⚙ Parámetros'!G17/(1+2^(-'⚙ Parámetros'!F17*(Q27-'⚙ Parámetros'!E17))),1)),0)</f>
        <v>4.5</v>
      </c>
      <c r="AE27" s="80">
        <f>IFERROR((30/100*MAX('⚙ Parámetros'!D18/(1+2^(-'⚙ Parámetros'!C18*(R27-'⚙ Parámetros'!B18))),'⚙ Parámetros'!G18/(1+2^(-'⚙ Parámetros'!F18*(R27-'⚙ Parámetros'!E18))),1)*R27+30/100*MAX('⚙ Parámetros'!D18/(1+2^(-'⚙ Parámetros'!C18*(S27-'⚙ Parámetros'!B18))),'⚙ Parámetros'!G18/(1+2^(-'⚙ Parámetros'!F18*(S27-'⚙ Parámetros'!E18))),1)*S27+20/100*MAX('⚙ Parámetros'!D18/(1+2^(-'⚙ Parámetros'!C18*(T27-'⚙ Parámetros'!B18))),'⚙ Parámetros'!G18/(1+2^(-'⚙ Parámetros'!F18*(T27-'⚙ Parámetros'!E18))),1)*T27+20/100*MAX('⚙ Parámetros'!D18/(1+2^(-'⚙ Parámetros'!C18*(U27-'⚙ Parámetros'!B18))),'⚙ Parámetros'!G18/(1+2^(-'⚙ Parámetros'!F18*(U27-'⚙ Parámetros'!E18))),1)*U27)/(30/100*MAX('⚙ Parámetros'!D18/(1+2^(-'⚙ Parámetros'!C18*(R27-'⚙ Parámetros'!B18))),'⚙ Parámetros'!G18/(1+2^(-'⚙ Parámetros'!F18*(R27-'⚙ Parámetros'!E18))),1)+30/100*MAX('⚙ Parámetros'!D18/(1+2^(-'⚙ Parámetros'!C18*(S27-'⚙ Parámetros'!B18))),'⚙ Parámetros'!G18/(1+2^(-'⚙ Parámetros'!F18*(S27-'⚙ Parámetros'!E18))),1)+20/100*MAX('⚙ Parámetros'!D18/(1+2^(-'⚙ Parámetros'!C18*(T27-'⚙ Parámetros'!B18))),'⚙ Parámetros'!G18/(1+2^(-'⚙ Parámetros'!F18*(T27-'⚙ Parámetros'!E18))),1)+20/100*MAX('⚙ Parámetros'!D18/(1+2^(-'⚙ Parámetros'!C18*(U27-'⚙ Parámetros'!B18))),'⚙ Parámetros'!G18/(1+2^(-'⚙ Parámetros'!F18*(U27-'⚙ Parámetros'!E18))),1)),0)</f>
        <v>5</v>
      </c>
      <c r="AF27" s="80">
        <f>IFERROR((30/100*MAX('⚙ Parámetros'!D19/(1+2^(-'⚙ Parámetros'!C19*(V27-'⚙ Parámetros'!B19))),'⚙ Parámetros'!G19/(1+2^(-'⚙ Parámetros'!F19*(V27-'⚙ Parámetros'!E19))),1)*V27+35/100*MAX('⚙ Parámetros'!D19/(1+2^(-'⚙ Parámetros'!C19*(W27-'⚙ Parámetros'!B19))),'⚙ Parámetros'!G19/(1+2^(-'⚙ Parámetros'!F19*(W27-'⚙ Parámetros'!E19))),1)*W27+35/100*MAX('⚙ Parámetros'!D19/(1+2^(-'⚙ Parámetros'!C19*(X27-'⚙ Parámetros'!B19))),'⚙ Parámetros'!G19/(1+2^(-'⚙ Parámetros'!F19*(X27-'⚙ Parámetros'!E19))),1)*X27)/(30/100*MAX('⚙ Parámetros'!D19/(1+2^(-'⚙ Parámetros'!C19*(V27-'⚙ Parámetros'!B19))),'⚙ Parámetros'!G19/(1+2^(-'⚙ Parámetros'!F19*(V27-'⚙ Parámetros'!E19))),1)+35/100*MAX('⚙ Parámetros'!D19/(1+2^(-'⚙ Parámetros'!C19*(W27-'⚙ Parámetros'!B19))),'⚙ Parámetros'!G19/(1+2^(-'⚙ Parámetros'!F19*(W27-'⚙ Parámetros'!E19))),1)+35/100*MAX('⚙ Parámetros'!D19/(1+2^(-'⚙ Parámetros'!C19*(X27-'⚙ Parámetros'!B19))),'⚙ Parámetros'!G19/(1+2^(-'⚙ Parámetros'!F19*(X27-'⚙ Parámetros'!E19))),1)),0)</f>
        <v>5.7368421052631575</v>
      </c>
      <c r="AG27" s="80">
        <f>IFERROR((35/100*MAX('⚙ Parámetros'!D20/(1+2^(-'⚙ Parámetros'!C20*(Y27-'⚙ Parámetros'!B20))),'⚙ Parámetros'!G20/(1+2^(-'⚙ Parámetros'!F20*(Y27-'⚙ Parámetros'!E20))),1)*Y27+35/100*MAX('⚙ Parámetros'!D20/(1+2^(-'⚙ Parámetros'!C20*(Z27-'⚙ Parámetros'!B20))),'⚙ Parámetros'!G20/(1+2^(-'⚙ Parámetros'!F20*(Z27-'⚙ Parámetros'!E20))),1)*Z27+30/100*MAX('⚙ Parámetros'!D20/(1+2^(-'⚙ Parámetros'!C20*(AA27-'⚙ Parámetros'!B20))),'⚙ Parámetros'!G20/(1+2^(-'⚙ Parámetros'!F20*(AA27-'⚙ Parámetros'!E20))),1)*AA27)/(35/100*MAX('⚙ Parámetros'!D20/(1+2^(-'⚙ Parámetros'!C20*(Y27-'⚙ Parámetros'!B20))),'⚙ Parámetros'!G20/(1+2^(-'⚙ Parámetros'!F20*(Y27-'⚙ Parámetros'!E20))),1)+35/100*MAX('⚙ Parámetros'!D20/(1+2^(-'⚙ Parámetros'!C20*(Z27-'⚙ Parámetros'!B20))),'⚙ Parámetros'!G20/(1+2^(-'⚙ Parámetros'!F20*(Z27-'⚙ Parámetros'!E20))),1)+30/100*MAX('⚙ Parámetros'!D20/(1+2^(-'⚙ Parámetros'!C20*(AA27-'⚙ Parámetros'!B20))),'⚙ Parámetros'!G20/(1+2^(-'⚙ Parámetros'!F20*(AA27-'⚙ Parámetros'!E20))),1)),0)</f>
        <v>3.7272727272727275</v>
      </c>
      <c r="AH27" s="81">
        <f>('⚙ Parámetros'!B5/100*AB27+'⚙ Parámetros'!B6/100*AC27+'⚙ Parámetros'!B7/100*AD27+'⚙ Parámetros'!B8/100*AE27+'⚙ Parámetros'!B9/100*AF27+'⚙ Parámetros'!B10/100*AG27)</f>
        <v>5.5726013228257809</v>
      </c>
      <c r="AI27" s="33">
        <f ca="1">MIN(1+MAX(0,TODAY()-DATE(2026,3,13))/365*'⚙ Parámetros'!B33,'⚙ Parámetros'!B34)</f>
        <v>1.0373972602739725</v>
      </c>
      <c r="AJ27" s="82">
        <f t="shared" ca="1" si="0"/>
        <v>5.7810013448985798</v>
      </c>
      <c r="AK27" s="83" t="str">
        <f ca="1">IF(AB27&gt;='⚙ Parámetros'!B23,"⚑ AUTO-PRIOR.(D1≥8)",IF(AJ27&gt;='⚙ Parámetros'!B23,"PRIORITARIO",IF(AJ27&gt;='⚙ Parámetros'!B24,"ALTA PRIORIDAD",IF(AJ27&gt;='⚙ Parámetros'!B25,"PRIORIDAD MEDIA",IF(AJ27&gt;='⚙ Parámetros'!B26,"BAJA PRIORIDAD","DESCARTAR")))))</f>
        <v>PRIORIDAD MEDIA</v>
      </c>
      <c r="AL27" s="84" t="str">
        <f t="shared" si="1"/>
        <v>—</v>
      </c>
      <c r="AM27" s="85">
        <v>29</v>
      </c>
      <c r="AN27" s="83" t="str">
        <f>IF(AM27="","—",IF(AM27&lt;'⚙ Parámetros'!B29,"🟢 Corto",IF(AM27&lt;'⚙ Parámetros'!B30,"🟡 Medio","🔴 Largo")))</f>
        <v>🟢 Corto</v>
      </c>
    </row>
    <row r="28" spans="1:40" ht="18.75" customHeight="1" x14ac:dyDescent="0.25">
      <c r="A28" s="69">
        <v>24</v>
      </c>
      <c r="B28" s="30" t="s">
        <v>186</v>
      </c>
      <c r="C28" s="26" t="s">
        <v>142</v>
      </c>
      <c r="D28" s="71" t="s">
        <v>167</v>
      </c>
      <c r="E28" s="72" t="s">
        <v>187</v>
      </c>
      <c r="F28" s="86">
        <v>6</v>
      </c>
      <c r="G28" s="86">
        <v>5</v>
      </c>
      <c r="H28" s="86">
        <v>5</v>
      </c>
      <c r="I28" s="86">
        <v>5</v>
      </c>
      <c r="J28" s="74">
        <v>1</v>
      </c>
      <c r="K28" s="74">
        <v>1</v>
      </c>
      <c r="L28" s="75">
        <v>8</v>
      </c>
      <c r="M28" s="86">
        <v>3</v>
      </c>
      <c r="N28" s="74">
        <v>1</v>
      </c>
      <c r="O28" s="74">
        <v>1</v>
      </c>
      <c r="P28" s="74">
        <v>1</v>
      </c>
      <c r="Q28" s="87">
        <v>8</v>
      </c>
      <c r="R28" s="76">
        <v>9</v>
      </c>
      <c r="S28" s="76">
        <v>9</v>
      </c>
      <c r="T28" s="86">
        <v>5</v>
      </c>
      <c r="U28" s="86">
        <v>5</v>
      </c>
      <c r="V28" s="77">
        <v>8</v>
      </c>
      <c r="W28" s="86">
        <v>6</v>
      </c>
      <c r="X28" s="77">
        <v>9</v>
      </c>
      <c r="Y28" s="86">
        <v>4</v>
      </c>
      <c r="Z28" s="74">
        <v>2</v>
      </c>
      <c r="AA28" s="93">
        <v>5</v>
      </c>
      <c r="AB28" s="89">
        <f>IFERROR((30/100*MAX('⚙ Parámetros'!D15/(1+2^(-'⚙ Parámetros'!C15*(F28-'⚙ Parámetros'!B15))),'⚙ Parámetros'!G15/(1+2^(-'⚙ Parámetros'!F15*(F28-'⚙ Parámetros'!E15))),1)*F28+30/100*MAX('⚙ Parámetros'!D15/(1+2^(-'⚙ Parámetros'!C15*(G28-'⚙ Parámetros'!B15))),'⚙ Parámetros'!G15/(1+2^(-'⚙ Parámetros'!F15*(G28-'⚙ Parámetros'!E15))),1)*G28+20/100*MAX('⚙ Parámetros'!D15/(1+2^(-'⚙ Parámetros'!C15*(H28-'⚙ Parámetros'!B15))),'⚙ Parámetros'!G15/(1+2^(-'⚙ Parámetros'!F15*(H28-'⚙ Parámetros'!E15))),1)*H28+20/100*MAX('⚙ Parámetros'!D15/(1+2^(-'⚙ Parámetros'!C15*(I28-'⚙ Parámetros'!B15))),'⚙ Parámetros'!G15/(1+2^(-'⚙ Parámetros'!F15*(I28-'⚙ Parámetros'!E15))),1)*I28)/(30/100*MAX('⚙ Parámetros'!D15/(1+2^(-'⚙ Parámetros'!C15*(F28-'⚙ Parámetros'!B15))),'⚙ Parámetros'!G15/(1+2^(-'⚙ Parámetros'!F15*(F28-'⚙ Parámetros'!E15))),1)+30/100*MAX('⚙ Parámetros'!D15/(1+2^(-'⚙ Parámetros'!C15*(G28-'⚙ Parámetros'!B15))),'⚙ Parámetros'!G15/(1+2^(-'⚙ Parámetros'!F15*(G28-'⚙ Parámetros'!E15))),1)+20/100*MAX('⚙ Parámetros'!D15/(1+2^(-'⚙ Parámetros'!C15*(H28-'⚙ Parámetros'!B15))),'⚙ Parámetros'!G15/(1+2^(-'⚙ Parámetros'!F15*(H28-'⚙ Parámetros'!E15))),1)+20/100*MAX('⚙ Parámetros'!D15/(1+2^(-'⚙ Parámetros'!C15*(I28-'⚙ Parámetros'!B15))),'⚙ Parámetros'!G15/(1+2^(-'⚙ Parámetros'!F15*(I28-'⚙ Parámetros'!E15))),1)),0)</f>
        <v>5.3253012048192776</v>
      </c>
      <c r="AC28" s="89">
        <f>IFERROR((35/100*MAX('⚙ Parámetros'!D16/(1+2^(-'⚙ Parámetros'!C16*(J28-'⚙ Parámetros'!B16))),'⚙ Parámetros'!G16/(1+2^(-'⚙ Parámetros'!F16*(J28-'⚙ Parámetros'!E16))),1)*J28+25/100*MAX('⚙ Parámetros'!D16/(1+2^(-'⚙ Parámetros'!C16*(K28-'⚙ Parámetros'!B16))),'⚙ Parámetros'!G16/(1+2^(-'⚙ Parámetros'!F16*(K28-'⚙ Parámetros'!E16))),1)*K28+20/100*MAX('⚙ Parámetros'!D16/(1+2^(-'⚙ Parámetros'!C16*(L28-'⚙ Parámetros'!B16))),'⚙ Parámetros'!G16/(1+2^(-'⚙ Parámetros'!F16*(L28-'⚙ Parámetros'!E16))),1)*L28+20/100*MAX('⚙ Parámetros'!D16/(1+2^(-'⚙ Parámetros'!C16*(M28-'⚙ Parámetros'!B16))),'⚙ Parámetros'!G16/(1+2^(-'⚙ Parámetros'!F16*(M28-'⚙ Parámetros'!E16))),1)*M28)/(35/100*MAX('⚙ Parámetros'!D16/(1+2^(-'⚙ Parámetros'!C16*(J28-'⚙ Parámetros'!B16))),'⚙ Parámetros'!G16/(1+2^(-'⚙ Parámetros'!F16*(J28-'⚙ Parámetros'!E16))),1)+25/100*MAX('⚙ Parámetros'!D16/(1+2^(-'⚙ Parámetros'!C16*(K28-'⚙ Parámetros'!B16))),'⚙ Parámetros'!G16/(1+2^(-'⚙ Parámetros'!F16*(K28-'⚙ Parámetros'!E16))),1)+20/100*MAX('⚙ Parámetros'!D16/(1+2^(-'⚙ Parámetros'!C16*(L28-'⚙ Parámetros'!B16))),'⚙ Parámetros'!G16/(1+2^(-'⚙ Parámetros'!F16*(L28-'⚙ Parámetros'!E16))),1)+20/100*MAX('⚙ Parámetros'!D16/(1+2^(-'⚙ Parámetros'!C16*(M28-'⚙ Parámetros'!B16))),'⚙ Parámetros'!G16/(1+2^(-'⚙ Parámetros'!F16*(M28-'⚙ Parámetros'!E16))),1)),0)</f>
        <v>4.9411764705882355</v>
      </c>
      <c r="AD28" s="89">
        <f>IFERROR((30/100*MAX('⚙ Parámetros'!D17/(1+2^(-'⚙ Parámetros'!C17*(N28-'⚙ Parámetros'!B17))),'⚙ Parámetros'!G17/(1+2^(-'⚙ Parámetros'!F17*(N28-'⚙ Parámetros'!E17))),1)*N28+25/100*MAX('⚙ Parámetros'!D17/(1+2^(-'⚙ Parámetros'!C17*(O28-'⚙ Parámetros'!B17))),'⚙ Parámetros'!G17/(1+2^(-'⚙ Parámetros'!F17*(O28-'⚙ Parámetros'!E17))),1)*O28+25/100*MAX('⚙ Parámetros'!D17/(1+2^(-'⚙ Parámetros'!C17*(P28-'⚙ Parámetros'!B17))),'⚙ Parámetros'!G17/(1+2^(-'⚙ Parámetros'!F17*(P28-'⚙ Parámetros'!E17))),1)*P28+20/100*MAX('⚙ Parámetros'!D17/(1+2^(-'⚙ Parámetros'!C17*(Q28-'⚙ Parámetros'!B17))),'⚙ Parámetros'!G17/(1+2^(-'⚙ Parámetros'!F17*(Q28-'⚙ Parámetros'!E17))),1)*Q28)/(30/100*MAX('⚙ Parámetros'!D17/(1+2^(-'⚙ Parámetros'!C17*(N28-'⚙ Parámetros'!B17))),'⚙ Parámetros'!G17/(1+2^(-'⚙ Parámetros'!F17*(N28-'⚙ Parámetros'!E17))),1)+25/100*MAX('⚙ Parámetros'!D17/(1+2^(-'⚙ Parámetros'!C17*(O28-'⚙ Parámetros'!B17))),'⚙ Parámetros'!G17/(1+2^(-'⚙ Parámetros'!F17*(O28-'⚙ Parámetros'!E17))),1)+25/100*MAX('⚙ Parámetros'!D17/(1+2^(-'⚙ Parámetros'!C17*(P28-'⚙ Parámetros'!B17))),'⚙ Parámetros'!G17/(1+2^(-'⚙ Parámetros'!F17*(P28-'⚙ Parámetros'!E17))),1)+20/100*MAX('⚙ Parámetros'!D17/(1+2^(-'⚙ Parámetros'!C17*(Q28-'⚙ Parámetros'!B17))),'⚙ Parámetros'!G17/(1+2^(-'⚙ Parámetros'!F17*(Q28-'⚙ Parámetros'!E17))),1)),0)</f>
        <v>4.5</v>
      </c>
      <c r="AE28" s="89">
        <f>IFERROR((30/100*MAX('⚙ Parámetros'!D18/(1+2^(-'⚙ Parámetros'!C18*(R28-'⚙ Parámetros'!B18))),'⚙ Parámetros'!G18/(1+2^(-'⚙ Parámetros'!F18*(R28-'⚙ Parámetros'!E18))),1)*R28+30/100*MAX('⚙ Parámetros'!D18/(1+2^(-'⚙ Parámetros'!C18*(S28-'⚙ Parámetros'!B18))),'⚙ Parámetros'!G18/(1+2^(-'⚙ Parámetros'!F18*(S28-'⚙ Parámetros'!E18))),1)*S28+20/100*MAX('⚙ Parámetros'!D18/(1+2^(-'⚙ Parámetros'!C18*(T28-'⚙ Parámetros'!B18))),'⚙ Parámetros'!G18/(1+2^(-'⚙ Parámetros'!F18*(T28-'⚙ Parámetros'!E18))),1)*T28+20/100*MAX('⚙ Parámetros'!D18/(1+2^(-'⚙ Parámetros'!C18*(U28-'⚙ Parámetros'!B18))),'⚙ Parámetros'!G18/(1+2^(-'⚙ Parámetros'!F18*(U28-'⚙ Parámetros'!E18))),1)*U28)/(30/100*MAX('⚙ Parámetros'!D18/(1+2^(-'⚙ Parámetros'!C18*(R28-'⚙ Parámetros'!B18))),'⚙ Parámetros'!G18/(1+2^(-'⚙ Parámetros'!F18*(R28-'⚙ Parámetros'!E18))),1)+30/100*MAX('⚙ Parámetros'!D18/(1+2^(-'⚙ Parámetros'!C18*(S28-'⚙ Parámetros'!B18))),'⚙ Parámetros'!G18/(1+2^(-'⚙ Parámetros'!F18*(S28-'⚙ Parámetros'!E18))),1)+20/100*MAX('⚙ Parámetros'!D18/(1+2^(-'⚙ Parámetros'!C18*(T28-'⚙ Parámetros'!B18))),'⚙ Parámetros'!G18/(1+2^(-'⚙ Parámetros'!F18*(T28-'⚙ Parámetros'!E18))),1)+20/100*MAX('⚙ Parámetros'!D18/(1+2^(-'⚙ Parámetros'!C18*(U28-'⚙ Parámetros'!B18))),'⚙ Parámetros'!G18/(1+2^(-'⚙ Parámetros'!F18*(U28-'⚙ Parámetros'!E18))),1)),0)</f>
        <v>8.1801060365339655</v>
      </c>
      <c r="AF28" s="89">
        <f>IFERROR((30/100*MAX('⚙ Parámetros'!D19/(1+2^(-'⚙ Parámetros'!C19*(V28-'⚙ Parámetros'!B19))),'⚙ Parámetros'!G19/(1+2^(-'⚙ Parámetros'!F19*(V28-'⚙ Parámetros'!E19))),1)*V28+35/100*MAX('⚙ Parámetros'!D19/(1+2^(-'⚙ Parámetros'!C19*(W28-'⚙ Parámetros'!B19))),'⚙ Parámetros'!G19/(1+2^(-'⚙ Parámetros'!F19*(W28-'⚙ Parámetros'!E19))),1)*W28+35/100*MAX('⚙ Parámetros'!D19/(1+2^(-'⚙ Parámetros'!C19*(X28-'⚙ Parámetros'!B19))),'⚙ Parámetros'!G19/(1+2^(-'⚙ Parámetros'!F19*(X28-'⚙ Parámetros'!E19))),1)*X28)/(30/100*MAX('⚙ Parámetros'!D19/(1+2^(-'⚙ Parámetros'!C19*(V28-'⚙ Parámetros'!B19))),'⚙ Parámetros'!G19/(1+2^(-'⚙ Parámetros'!F19*(V28-'⚙ Parámetros'!E19))),1)+35/100*MAX('⚙ Parámetros'!D19/(1+2^(-'⚙ Parámetros'!C19*(W28-'⚙ Parámetros'!B19))),'⚙ Parámetros'!G19/(1+2^(-'⚙ Parámetros'!F19*(W28-'⚙ Parámetros'!E19))),1)+35/100*MAX('⚙ Parámetros'!D19/(1+2^(-'⚙ Parámetros'!C19*(X28-'⚙ Parámetros'!B19))),'⚙ Parámetros'!G19/(1+2^(-'⚙ Parámetros'!F19*(X28-'⚙ Parámetros'!E19))),1)),0)</f>
        <v>8.0351483057098907</v>
      </c>
      <c r="AG28" s="89">
        <f>IFERROR((35/100*MAX('⚙ Parámetros'!D20/(1+2^(-'⚙ Parámetros'!C20*(Y28-'⚙ Parámetros'!B20))),'⚙ Parámetros'!G20/(1+2^(-'⚙ Parámetros'!F20*(Y28-'⚙ Parámetros'!E20))),1)*Y28+35/100*MAX('⚙ Parámetros'!D20/(1+2^(-'⚙ Parámetros'!C20*(Z28-'⚙ Parámetros'!B20))),'⚙ Parámetros'!G20/(1+2^(-'⚙ Parámetros'!F20*(Z28-'⚙ Parámetros'!E20))),1)*Z28+30/100*MAX('⚙ Parámetros'!D20/(1+2^(-'⚙ Parámetros'!C20*(AA28-'⚙ Parámetros'!B20))),'⚙ Parámetros'!G20/(1+2^(-'⚙ Parámetros'!F20*(AA28-'⚙ Parámetros'!E20))),1)*AA28)/(35/100*MAX('⚙ Parámetros'!D20/(1+2^(-'⚙ Parámetros'!C20*(Y28-'⚙ Parámetros'!B20))),'⚙ Parámetros'!G20/(1+2^(-'⚙ Parámetros'!F20*(Y28-'⚙ Parámetros'!E20))),1)+35/100*MAX('⚙ Parámetros'!D20/(1+2^(-'⚙ Parámetros'!C20*(Z28-'⚙ Parámetros'!B20))),'⚙ Parámetros'!G20/(1+2^(-'⚙ Parámetros'!F20*(Z28-'⚙ Parámetros'!E20))),1)+30/100*MAX('⚙ Parámetros'!D20/(1+2^(-'⚙ Parámetros'!C20*(AA28-'⚙ Parámetros'!B20))),'⚙ Parámetros'!G20/(1+2^(-'⚙ Parámetros'!F20*(AA28-'⚙ Parámetros'!E20))),1)),0)</f>
        <v>3.7272727272727275</v>
      </c>
      <c r="AH28" s="90">
        <f>('⚙ Parámetros'!B5/100*AB28+'⚙ Parámetros'!B6/100*AC28+'⚙ Parámetros'!B7/100*AD28+'⚙ Parámetros'!B8/100*AE28+'⚙ Parámetros'!B9/100*AF28+'⚙ Parámetros'!B10/100*AG28)</f>
        <v>5.5691350287003134</v>
      </c>
      <c r="AI28" s="91">
        <f ca="1">MIN(1+MAX(0,TODAY()-DATE(2026,1,23))/365*'⚙ Parámetros'!B33,'⚙ Parámetros'!B34)</f>
        <v>1.0575342465753426</v>
      </c>
      <c r="AJ28" s="82">
        <f t="shared" ca="1" si="0"/>
        <v>5.889551016652935</v>
      </c>
      <c r="AK28" s="92" t="str">
        <f ca="1">IF(AB28&gt;='⚙ Parámetros'!B23,"⚑ AUTO-PRIOR.(D1≥8)",IF(AJ28&gt;='⚙ Parámetros'!B23,"PRIORITARIO",IF(AJ28&gt;='⚙ Parámetros'!B24,"ALTA PRIORIDAD",IF(AJ28&gt;='⚙ Parámetros'!B25,"PRIORIDAD MEDIA",IF(AJ28&gt;='⚙ Parámetros'!B26,"BAJA PRIORIDAD","DESCARTAR")))))</f>
        <v>PRIORIDAD MEDIA</v>
      </c>
      <c r="AL28" s="69" t="str">
        <f t="shared" si="1"/>
        <v>—</v>
      </c>
      <c r="AM28" s="85">
        <v>27</v>
      </c>
      <c r="AN28" s="83" t="str">
        <f>IF(AM28="","—",IF(AM28&lt;'⚙ Parámetros'!B29,"🟢 Corto",IF(AM28&lt;'⚙ Parámetros'!B30,"🟡 Medio","🔴 Largo")))</f>
        <v>🟢 Corto</v>
      </c>
    </row>
    <row r="29" spans="1:40" ht="18.75" customHeight="1" x14ac:dyDescent="0.25">
      <c r="A29" s="69">
        <v>25</v>
      </c>
      <c r="B29" s="70" t="s">
        <v>188</v>
      </c>
      <c r="C29" s="4" t="s">
        <v>142</v>
      </c>
      <c r="D29" s="71" t="s">
        <v>189</v>
      </c>
      <c r="E29" s="72" t="s">
        <v>190</v>
      </c>
      <c r="F29" s="73">
        <v>6</v>
      </c>
      <c r="G29" s="73">
        <v>5</v>
      </c>
      <c r="H29" s="74">
        <v>1</v>
      </c>
      <c r="I29" s="73">
        <v>5</v>
      </c>
      <c r="J29" s="74">
        <v>1</v>
      </c>
      <c r="K29" s="74">
        <v>1</v>
      </c>
      <c r="L29" s="75">
        <v>8</v>
      </c>
      <c r="M29" s="73">
        <v>3</v>
      </c>
      <c r="N29" s="73">
        <v>7</v>
      </c>
      <c r="O29" s="74">
        <v>1</v>
      </c>
      <c r="P29" s="73">
        <v>6</v>
      </c>
      <c r="Q29" s="74">
        <v>1</v>
      </c>
      <c r="R29" s="76">
        <v>9</v>
      </c>
      <c r="S29" s="76">
        <v>9</v>
      </c>
      <c r="T29" s="73">
        <v>5</v>
      </c>
      <c r="U29" s="73">
        <v>5</v>
      </c>
      <c r="V29" s="77">
        <v>8</v>
      </c>
      <c r="W29" s="73">
        <v>6</v>
      </c>
      <c r="X29" s="77">
        <v>9</v>
      </c>
      <c r="Y29" s="73">
        <v>4</v>
      </c>
      <c r="Z29" s="74">
        <v>2</v>
      </c>
      <c r="AA29" s="79">
        <v>5</v>
      </c>
      <c r="AB29" s="80">
        <f>IFERROR((30/100*MAX('⚙ Parámetros'!D15/(1+2^(-'⚙ Parámetros'!C15*(F29-'⚙ Parámetros'!B15))),'⚙ Parámetros'!G15/(1+2^(-'⚙ Parámetros'!F15*(F29-'⚙ Parámetros'!E15))),1)*F29+30/100*MAX('⚙ Parámetros'!D15/(1+2^(-'⚙ Parámetros'!C15*(G29-'⚙ Parámetros'!B15))),'⚙ Parámetros'!G15/(1+2^(-'⚙ Parámetros'!F15*(G29-'⚙ Parámetros'!E15))),1)*G29+20/100*MAX('⚙ Parámetros'!D15/(1+2^(-'⚙ Parámetros'!C15*(H29-'⚙ Parámetros'!B15))),'⚙ Parámetros'!G15/(1+2^(-'⚙ Parámetros'!F15*(H29-'⚙ Parámetros'!E15))),1)*H29+20/100*MAX('⚙ Parámetros'!D15/(1+2^(-'⚙ Parámetros'!C15*(I29-'⚙ Parámetros'!B15))),'⚙ Parámetros'!G15/(1+2^(-'⚙ Parámetros'!F15*(I29-'⚙ Parámetros'!E15))),1)*I29)/(30/100*MAX('⚙ Parámetros'!D15/(1+2^(-'⚙ Parámetros'!C15*(F29-'⚙ Parámetros'!B15))),'⚙ Parámetros'!G15/(1+2^(-'⚙ Parámetros'!F15*(F29-'⚙ Parámetros'!E15))),1)+30/100*MAX('⚙ Parámetros'!D15/(1+2^(-'⚙ Parámetros'!C15*(G29-'⚙ Parámetros'!B15))),'⚙ Parámetros'!G15/(1+2^(-'⚙ Parámetros'!F15*(G29-'⚙ Parámetros'!E15))),1)+20/100*MAX('⚙ Parámetros'!D15/(1+2^(-'⚙ Parámetros'!C15*(H29-'⚙ Parámetros'!B15))),'⚙ Parámetros'!G15/(1+2^(-'⚙ Parámetros'!F15*(H29-'⚙ Parámetros'!E15))),1)+20/100*MAX('⚙ Parámetros'!D15/(1+2^(-'⚙ Parámetros'!C15*(I29-'⚙ Parámetros'!B15))),'⚙ Parámetros'!G15/(1+2^(-'⚙ Parámetros'!F15*(I29-'⚙ Parámetros'!E15))),1)),0)</f>
        <v>4.8311688311688314</v>
      </c>
      <c r="AC29" s="80">
        <f>IFERROR((35/100*MAX('⚙ Parámetros'!D16/(1+2^(-'⚙ Parámetros'!C16*(J29-'⚙ Parámetros'!B16))),'⚙ Parámetros'!G16/(1+2^(-'⚙ Parámetros'!F16*(J29-'⚙ Parámetros'!E16))),1)*J29+25/100*MAX('⚙ Parámetros'!D16/(1+2^(-'⚙ Parámetros'!C16*(K29-'⚙ Parámetros'!B16))),'⚙ Parámetros'!G16/(1+2^(-'⚙ Parámetros'!F16*(K29-'⚙ Parámetros'!E16))),1)*K29+20/100*MAX('⚙ Parámetros'!D16/(1+2^(-'⚙ Parámetros'!C16*(L29-'⚙ Parámetros'!B16))),'⚙ Parámetros'!G16/(1+2^(-'⚙ Parámetros'!F16*(L29-'⚙ Parámetros'!E16))),1)*L29+20/100*MAX('⚙ Parámetros'!D16/(1+2^(-'⚙ Parámetros'!C16*(M29-'⚙ Parámetros'!B16))),'⚙ Parámetros'!G16/(1+2^(-'⚙ Parámetros'!F16*(M29-'⚙ Parámetros'!E16))),1)*M29)/(35/100*MAX('⚙ Parámetros'!D16/(1+2^(-'⚙ Parámetros'!C16*(J29-'⚙ Parámetros'!B16))),'⚙ Parámetros'!G16/(1+2^(-'⚙ Parámetros'!F16*(J29-'⚙ Parámetros'!E16))),1)+25/100*MAX('⚙ Parámetros'!D16/(1+2^(-'⚙ Parámetros'!C16*(K29-'⚙ Parámetros'!B16))),'⚙ Parámetros'!G16/(1+2^(-'⚙ Parámetros'!F16*(K29-'⚙ Parámetros'!E16))),1)+20/100*MAX('⚙ Parámetros'!D16/(1+2^(-'⚙ Parámetros'!C16*(L29-'⚙ Parámetros'!B16))),'⚙ Parámetros'!G16/(1+2^(-'⚙ Parámetros'!F16*(L29-'⚙ Parámetros'!E16))),1)+20/100*MAX('⚙ Parámetros'!D16/(1+2^(-'⚙ Parámetros'!C16*(M29-'⚙ Parámetros'!B16))),'⚙ Parámetros'!G16/(1+2^(-'⚙ Parámetros'!F16*(M29-'⚙ Parámetros'!E16))),1)),0)</f>
        <v>4.9411764705882355</v>
      </c>
      <c r="AD29" s="80">
        <f>IFERROR((30/100*MAX('⚙ Parámetros'!D17/(1+2^(-'⚙ Parámetros'!C17*(N29-'⚙ Parámetros'!B17))),'⚙ Parámetros'!G17/(1+2^(-'⚙ Parámetros'!F17*(N29-'⚙ Parámetros'!E17))),1)*N29+25/100*MAX('⚙ Parámetros'!D17/(1+2^(-'⚙ Parámetros'!C17*(O29-'⚙ Parámetros'!B17))),'⚙ Parámetros'!G17/(1+2^(-'⚙ Parámetros'!F17*(O29-'⚙ Parámetros'!E17))),1)*O29+25/100*MAX('⚙ Parámetros'!D17/(1+2^(-'⚙ Parámetros'!C17*(P29-'⚙ Parámetros'!B17))),'⚙ Parámetros'!G17/(1+2^(-'⚙ Parámetros'!F17*(P29-'⚙ Parámetros'!E17))),1)*P29+20/100*MAX('⚙ Parámetros'!D17/(1+2^(-'⚙ Parámetros'!C17*(Q29-'⚙ Parámetros'!B17))),'⚙ Parámetros'!G17/(1+2^(-'⚙ Parámetros'!F17*(Q29-'⚙ Parámetros'!E17))),1)*Q29)/(30/100*MAX('⚙ Parámetros'!D17/(1+2^(-'⚙ Parámetros'!C17*(N29-'⚙ Parámetros'!B17))),'⚙ Parámetros'!G17/(1+2^(-'⚙ Parámetros'!F17*(N29-'⚙ Parámetros'!E17))),1)+25/100*MAX('⚙ Parámetros'!D17/(1+2^(-'⚙ Parámetros'!C17*(O29-'⚙ Parámetros'!B17))),'⚙ Parámetros'!G17/(1+2^(-'⚙ Parámetros'!F17*(O29-'⚙ Parámetros'!E17))),1)+25/100*MAX('⚙ Parámetros'!D17/(1+2^(-'⚙ Parámetros'!C17*(P29-'⚙ Parámetros'!B17))),'⚙ Parámetros'!G17/(1+2^(-'⚙ Parámetros'!F17*(P29-'⚙ Parámetros'!E17))),1)+20/100*MAX('⚙ Parámetros'!D17/(1+2^(-'⚙ Parámetros'!C17*(Q29-'⚙ Parámetros'!B17))),'⚙ Parámetros'!G17/(1+2^(-'⚙ Parámetros'!F17*(Q29-'⚙ Parámetros'!E17))),1)),0)</f>
        <v>5.2162162162162158</v>
      </c>
      <c r="AE29" s="80">
        <f>IFERROR((30/100*MAX('⚙ Parámetros'!D18/(1+2^(-'⚙ Parámetros'!C18*(R29-'⚙ Parámetros'!B18))),'⚙ Parámetros'!G18/(1+2^(-'⚙ Parámetros'!F18*(R29-'⚙ Parámetros'!E18))),1)*R29+30/100*MAX('⚙ Parámetros'!D18/(1+2^(-'⚙ Parámetros'!C18*(S29-'⚙ Parámetros'!B18))),'⚙ Parámetros'!G18/(1+2^(-'⚙ Parámetros'!F18*(S29-'⚙ Parámetros'!E18))),1)*S29+20/100*MAX('⚙ Parámetros'!D18/(1+2^(-'⚙ Parámetros'!C18*(T29-'⚙ Parámetros'!B18))),'⚙ Parámetros'!G18/(1+2^(-'⚙ Parámetros'!F18*(T29-'⚙ Parámetros'!E18))),1)*T29+20/100*MAX('⚙ Parámetros'!D18/(1+2^(-'⚙ Parámetros'!C18*(U29-'⚙ Parámetros'!B18))),'⚙ Parámetros'!G18/(1+2^(-'⚙ Parámetros'!F18*(U29-'⚙ Parámetros'!E18))),1)*U29)/(30/100*MAX('⚙ Parámetros'!D18/(1+2^(-'⚙ Parámetros'!C18*(R29-'⚙ Parámetros'!B18))),'⚙ Parámetros'!G18/(1+2^(-'⚙ Parámetros'!F18*(R29-'⚙ Parámetros'!E18))),1)+30/100*MAX('⚙ Parámetros'!D18/(1+2^(-'⚙ Parámetros'!C18*(S29-'⚙ Parámetros'!B18))),'⚙ Parámetros'!G18/(1+2^(-'⚙ Parámetros'!F18*(S29-'⚙ Parámetros'!E18))),1)+20/100*MAX('⚙ Parámetros'!D18/(1+2^(-'⚙ Parámetros'!C18*(T29-'⚙ Parámetros'!B18))),'⚙ Parámetros'!G18/(1+2^(-'⚙ Parámetros'!F18*(T29-'⚙ Parámetros'!E18))),1)+20/100*MAX('⚙ Parámetros'!D18/(1+2^(-'⚙ Parámetros'!C18*(U29-'⚙ Parámetros'!B18))),'⚙ Parámetros'!G18/(1+2^(-'⚙ Parámetros'!F18*(U29-'⚙ Parámetros'!E18))),1)),0)</f>
        <v>8.1801060365339655</v>
      </c>
      <c r="AF29" s="80">
        <f>IFERROR((30/100*MAX('⚙ Parámetros'!D19/(1+2^(-'⚙ Parámetros'!C19*(V29-'⚙ Parámetros'!B19))),'⚙ Parámetros'!G19/(1+2^(-'⚙ Parámetros'!F19*(V29-'⚙ Parámetros'!E19))),1)*V29+35/100*MAX('⚙ Parámetros'!D19/(1+2^(-'⚙ Parámetros'!C19*(W29-'⚙ Parámetros'!B19))),'⚙ Parámetros'!G19/(1+2^(-'⚙ Parámetros'!F19*(W29-'⚙ Parámetros'!E19))),1)*W29+35/100*MAX('⚙ Parámetros'!D19/(1+2^(-'⚙ Parámetros'!C19*(X29-'⚙ Parámetros'!B19))),'⚙ Parámetros'!G19/(1+2^(-'⚙ Parámetros'!F19*(X29-'⚙ Parámetros'!E19))),1)*X29)/(30/100*MAX('⚙ Parámetros'!D19/(1+2^(-'⚙ Parámetros'!C19*(V29-'⚙ Parámetros'!B19))),'⚙ Parámetros'!G19/(1+2^(-'⚙ Parámetros'!F19*(V29-'⚙ Parámetros'!E19))),1)+35/100*MAX('⚙ Parámetros'!D19/(1+2^(-'⚙ Parámetros'!C19*(W29-'⚙ Parámetros'!B19))),'⚙ Parámetros'!G19/(1+2^(-'⚙ Parámetros'!F19*(W29-'⚙ Parámetros'!E19))),1)+35/100*MAX('⚙ Parámetros'!D19/(1+2^(-'⚙ Parámetros'!C19*(X29-'⚙ Parámetros'!B19))),'⚙ Parámetros'!G19/(1+2^(-'⚙ Parámetros'!F19*(X29-'⚙ Parámetros'!E19))),1)),0)</f>
        <v>8.0351483057098907</v>
      </c>
      <c r="AG29" s="80">
        <f>IFERROR((35/100*MAX('⚙ Parámetros'!D20/(1+2^(-'⚙ Parámetros'!C20*(Y29-'⚙ Parámetros'!B20))),'⚙ Parámetros'!G20/(1+2^(-'⚙ Parámetros'!F20*(Y29-'⚙ Parámetros'!E20))),1)*Y29+35/100*MAX('⚙ Parámetros'!D20/(1+2^(-'⚙ Parámetros'!C20*(Z29-'⚙ Parámetros'!B20))),'⚙ Parámetros'!G20/(1+2^(-'⚙ Parámetros'!F20*(Z29-'⚙ Parámetros'!E20))),1)*Z29+30/100*MAX('⚙ Parámetros'!D20/(1+2^(-'⚙ Parámetros'!C20*(AA29-'⚙ Parámetros'!B20))),'⚙ Parámetros'!G20/(1+2^(-'⚙ Parámetros'!F20*(AA29-'⚙ Parámetros'!E20))),1)*AA29)/(35/100*MAX('⚙ Parámetros'!D20/(1+2^(-'⚙ Parámetros'!C20*(Y29-'⚙ Parámetros'!B20))),'⚙ Parámetros'!G20/(1+2^(-'⚙ Parámetros'!F20*(Y29-'⚙ Parámetros'!E20))),1)+35/100*MAX('⚙ Parámetros'!D20/(1+2^(-'⚙ Parámetros'!C20*(Z29-'⚙ Parámetros'!B20))),'⚙ Parámetros'!G20/(1+2^(-'⚙ Parámetros'!F20*(Z29-'⚙ Parámetros'!E20))),1)+30/100*MAX('⚙ Parámetros'!D20/(1+2^(-'⚙ Parámetros'!C20*(AA29-'⚙ Parámetros'!B20))),'⚙ Parámetros'!G20/(1+2^(-'⚙ Parámetros'!F20*(AA29-'⚙ Parámetros'!E20))),1)),0)</f>
        <v>3.7272727272727275</v>
      </c>
      <c r="AH29" s="81">
        <f>('⚙ Parámetros'!B5/100*AB29+'⚙ Parámetros'!B6/100*AC29+'⚙ Parámetros'!B7/100*AD29+'⚙ Parámetros'!B8/100*AE29+'⚙ Parámetros'!B9/100*AF29+'⚙ Parámetros'!B10/100*AG29)</f>
        <v>5.5641385598484225</v>
      </c>
      <c r="AI29" s="33">
        <f ca="1">MIN(1+MAX(0,TODAY()-DATE(2026,3,9))/365*'⚙ Parámetros'!B33,'⚙ Parámetros'!B34)</f>
        <v>1.039041095890411</v>
      </c>
      <c r="AJ29" s="82">
        <f t="shared" ca="1" si="0"/>
        <v>5.7813686269109983</v>
      </c>
      <c r="AK29" s="83" t="str">
        <f ca="1">IF(AB29&gt;='⚙ Parámetros'!B23,"⚑ AUTO-PRIOR.(D1≥8)",IF(AJ29&gt;='⚙ Parámetros'!B23,"PRIORITARIO",IF(AJ29&gt;='⚙ Parámetros'!B24,"ALTA PRIORIDAD",IF(AJ29&gt;='⚙ Parámetros'!B25,"PRIORIDAD MEDIA",IF(AJ29&gt;='⚙ Parámetros'!B26,"BAJA PRIORIDAD","DESCARTAR")))))</f>
        <v>PRIORIDAD MEDIA</v>
      </c>
      <c r="AL29" s="84" t="str">
        <f t="shared" si="1"/>
        <v>—</v>
      </c>
      <c r="AM29" s="85">
        <v>171</v>
      </c>
      <c r="AN29" s="83" t="str">
        <f>IF(AM29="","—",IF(AM29&lt;'⚙ Parámetros'!B29,"🟢 Corto",IF(AM29&lt;'⚙ Parámetros'!B30,"🟡 Medio","🔴 Largo")))</f>
        <v>🔴 Largo</v>
      </c>
    </row>
    <row r="30" spans="1:40" ht="18.75" customHeight="1" x14ac:dyDescent="0.25">
      <c r="A30" s="69">
        <v>26</v>
      </c>
      <c r="B30" s="30" t="s">
        <v>191</v>
      </c>
      <c r="C30" s="26" t="s">
        <v>147</v>
      </c>
      <c r="D30" s="71" t="s">
        <v>192</v>
      </c>
      <c r="E30" s="72" t="s">
        <v>158</v>
      </c>
      <c r="F30" s="74">
        <v>1</v>
      </c>
      <c r="G30" s="74">
        <v>1</v>
      </c>
      <c r="H30" s="86">
        <v>5</v>
      </c>
      <c r="I30" s="74">
        <v>1</v>
      </c>
      <c r="J30" s="75">
        <v>10</v>
      </c>
      <c r="K30" s="75">
        <v>9</v>
      </c>
      <c r="L30" s="75">
        <v>8</v>
      </c>
      <c r="M30" s="75">
        <v>9</v>
      </c>
      <c r="N30" s="87">
        <v>8</v>
      </c>
      <c r="O30" s="74">
        <v>1</v>
      </c>
      <c r="P30" s="86">
        <v>7</v>
      </c>
      <c r="Q30" s="86">
        <v>6</v>
      </c>
      <c r="R30" s="86">
        <v>7</v>
      </c>
      <c r="S30" s="86">
        <v>6</v>
      </c>
      <c r="T30" s="86">
        <v>5</v>
      </c>
      <c r="U30" s="86">
        <v>5</v>
      </c>
      <c r="V30" s="86">
        <v>7</v>
      </c>
      <c r="W30" s="86">
        <v>6</v>
      </c>
      <c r="X30" s="86">
        <v>5</v>
      </c>
      <c r="Y30" s="86">
        <v>5</v>
      </c>
      <c r="Z30" s="74">
        <v>2</v>
      </c>
      <c r="AA30" s="93">
        <v>5</v>
      </c>
      <c r="AB30" s="89">
        <f>IFERROR((30/100*MAX('⚙ Parámetros'!D15/(1+2^(-'⚙ Parámetros'!C15*(F30-'⚙ Parámetros'!B15))),'⚙ Parámetros'!G15/(1+2^(-'⚙ Parámetros'!F15*(F30-'⚙ Parámetros'!E15))),1)*F30+30/100*MAX('⚙ Parámetros'!D15/(1+2^(-'⚙ Parámetros'!C15*(G30-'⚙ Parámetros'!B15))),'⚙ Parámetros'!G15/(1+2^(-'⚙ Parámetros'!F15*(G30-'⚙ Parámetros'!E15))),1)*G30+20/100*MAX('⚙ Parámetros'!D15/(1+2^(-'⚙ Parámetros'!C15*(H30-'⚙ Parámetros'!B15))),'⚙ Parámetros'!G15/(1+2^(-'⚙ Parámetros'!F15*(H30-'⚙ Parámetros'!E15))),1)*H30+20/100*MAX('⚙ Parámetros'!D15/(1+2^(-'⚙ Parámetros'!C15*(I30-'⚙ Parámetros'!B15))),'⚙ Parámetros'!G15/(1+2^(-'⚙ Parámetros'!F15*(I30-'⚙ Parámetros'!E15))),1)*I30)/(30/100*MAX('⚙ Parámetros'!D15/(1+2^(-'⚙ Parámetros'!C15*(F30-'⚙ Parámetros'!B15))),'⚙ Parámetros'!G15/(1+2^(-'⚙ Parámetros'!F15*(F30-'⚙ Parámetros'!E15))),1)+30/100*MAX('⚙ Parámetros'!D15/(1+2^(-'⚙ Parámetros'!C15*(G30-'⚙ Parámetros'!B15))),'⚙ Parámetros'!G15/(1+2^(-'⚙ Parámetros'!F15*(G30-'⚙ Parámetros'!E15))),1)+20/100*MAX('⚙ Parámetros'!D15/(1+2^(-'⚙ Parámetros'!C15*(H30-'⚙ Parámetros'!B15))),'⚙ Parámetros'!G15/(1+2^(-'⚙ Parámetros'!F15*(H30-'⚙ Parámetros'!E15))),1)+20/100*MAX('⚙ Parámetros'!D15/(1+2^(-'⚙ Parámetros'!C15*(I30-'⚙ Parámetros'!B15))),'⚙ Parámetros'!G15/(1+2^(-'⚙ Parámetros'!F15*(I30-'⚙ Parámetros'!E15))),1)),0)</f>
        <v>2.1428571428571428</v>
      </c>
      <c r="AC30" s="89">
        <f>IFERROR((35/100*MAX('⚙ Parámetros'!D16/(1+2^(-'⚙ Parámetros'!C16*(J30-'⚙ Parámetros'!B16))),'⚙ Parámetros'!G16/(1+2^(-'⚙ Parámetros'!F16*(J30-'⚙ Parámetros'!E16))),1)*J30+25/100*MAX('⚙ Parámetros'!D16/(1+2^(-'⚙ Parámetros'!C16*(K30-'⚙ Parámetros'!B16))),'⚙ Parámetros'!G16/(1+2^(-'⚙ Parámetros'!F16*(K30-'⚙ Parámetros'!E16))),1)*K30+20/100*MAX('⚙ Parámetros'!D16/(1+2^(-'⚙ Parámetros'!C16*(L30-'⚙ Parámetros'!B16))),'⚙ Parámetros'!G16/(1+2^(-'⚙ Parámetros'!F16*(L30-'⚙ Parámetros'!E16))),1)*L30+20/100*MAX('⚙ Parámetros'!D16/(1+2^(-'⚙ Parámetros'!C16*(M30-'⚙ Parámetros'!B16))),'⚙ Parámetros'!G16/(1+2^(-'⚙ Parámetros'!F16*(M30-'⚙ Parámetros'!E16))),1)*M30)/(35/100*MAX('⚙ Parámetros'!D16/(1+2^(-'⚙ Parámetros'!C16*(J30-'⚙ Parámetros'!B16))),'⚙ Parámetros'!G16/(1+2^(-'⚙ Parámetros'!F16*(J30-'⚙ Parámetros'!E16))),1)+25/100*MAX('⚙ Parámetros'!D16/(1+2^(-'⚙ Parámetros'!C16*(K30-'⚙ Parámetros'!B16))),'⚙ Parámetros'!G16/(1+2^(-'⚙ Parámetros'!F16*(K30-'⚙ Parámetros'!E16))),1)+20/100*MAX('⚙ Parámetros'!D16/(1+2^(-'⚙ Parámetros'!C16*(L30-'⚙ Parámetros'!B16))),'⚙ Parámetros'!G16/(1+2^(-'⚙ Parámetros'!F16*(L30-'⚙ Parámetros'!E16))),1)+20/100*MAX('⚙ Parámetros'!D16/(1+2^(-'⚙ Parámetros'!C16*(M30-'⚙ Parámetros'!B16))),'⚙ Parámetros'!G16/(1+2^(-'⚙ Parámetros'!F16*(M30-'⚙ Parámetros'!E16))),1)),0)</f>
        <v>9.2906110283159453</v>
      </c>
      <c r="AD30" s="89">
        <f>IFERROR((30/100*MAX('⚙ Parámetros'!D17/(1+2^(-'⚙ Parámetros'!C17*(N30-'⚙ Parámetros'!B17))),'⚙ Parámetros'!G17/(1+2^(-'⚙ Parámetros'!F17*(N30-'⚙ Parámetros'!E17))),1)*N30+25/100*MAX('⚙ Parámetros'!D17/(1+2^(-'⚙ Parámetros'!C17*(O30-'⚙ Parámetros'!B17))),'⚙ Parámetros'!G17/(1+2^(-'⚙ Parámetros'!F17*(O30-'⚙ Parámetros'!E17))),1)*O30+25/100*MAX('⚙ Parámetros'!D17/(1+2^(-'⚙ Parámetros'!C17*(P30-'⚙ Parámetros'!B17))),'⚙ Parámetros'!G17/(1+2^(-'⚙ Parámetros'!F17*(P30-'⚙ Parámetros'!E17))),1)*P30+20/100*MAX('⚙ Parámetros'!D17/(1+2^(-'⚙ Parámetros'!C17*(Q30-'⚙ Parámetros'!B17))),'⚙ Parámetros'!G17/(1+2^(-'⚙ Parámetros'!F17*(Q30-'⚙ Parámetros'!E17))),1)*Q30)/(30/100*MAX('⚙ Parámetros'!D17/(1+2^(-'⚙ Parámetros'!C17*(N30-'⚙ Parámetros'!B17))),'⚙ Parámetros'!G17/(1+2^(-'⚙ Parámetros'!F17*(N30-'⚙ Parámetros'!E17))),1)+25/100*MAX('⚙ Parámetros'!D17/(1+2^(-'⚙ Parámetros'!C17*(O30-'⚙ Parámetros'!B17))),'⚙ Parámetros'!G17/(1+2^(-'⚙ Parámetros'!F17*(O30-'⚙ Parámetros'!E17))),1)+25/100*MAX('⚙ Parámetros'!D17/(1+2^(-'⚙ Parámetros'!C17*(P30-'⚙ Parámetros'!B17))),'⚙ Parámetros'!G17/(1+2^(-'⚙ Parámetros'!F17*(P30-'⚙ Parámetros'!E17))),1)+20/100*MAX('⚙ Parámetros'!D17/(1+2^(-'⚙ Parámetros'!C17*(Q30-'⚙ Parámetros'!B17))),'⚙ Parámetros'!G17/(1+2^(-'⚙ Parámetros'!F17*(Q30-'⚙ Parámetros'!E17))),1)),0)</f>
        <v>6.6996148908857505</v>
      </c>
      <c r="AE30" s="89">
        <f>IFERROR((30/100*MAX('⚙ Parámetros'!D18/(1+2^(-'⚙ Parámetros'!C18*(R30-'⚙ Parámetros'!B18))),'⚙ Parámetros'!G18/(1+2^(-'⚙ Parámetros'!F18*(R30-'⚙ Parámetros'!E18))),1)*R30+30/100*MAX('⚙ Parámetros'!D18/(1+2^(-'⚙ Parámetros'!C18*(S30-'⚙ Parámetros'!B18))),'⚙ Parámetros'!G18/(1+2^(-'⚙ Parámetros'!F18*(S30-'⚙ Parámetros'!E18))),1)*S30+20/100*MAX('⚙ Parámetros'!D18/(1+2^(-'⚙ Parámetros'!C18*(T30-'⚙ Parámetros'!B18))),'⚙ Parámetros'!G18/(1+2^(-'⚙ Parámetros'!F18*(T30-'⚙ Parámetros'!E18))),1)*T30+20/100*MAX('⚙ Parámetros'!D18/(1+2^(-'⚙ Parámetros'!C18*(U30-'⚙ Parámetros'!B18))),'⚙ Parámetros'!G18/(1+2^(-'⚙ Parámetros'!F18*(U30-'⚙ Parámetros'!E18))),1)*U30)/(30/100*MAX('⚙ Parámetros'!D18/(1+2^(-'⚙ Parámetros'!C18*(R30-'⚙ Parámetros'!B18))),'⚙ Parámetros'!G18/(1+2^(-'⚙ Parámetros'!F18*(R30-'⚙ Parámetros'!E18))),1)+30/100*MAX('⚙ Parámetros'!D18/(1+2^(-'⚙ Parámetros'!C18*(S30-'⚙ Parámetros'!B18))),'⚙ Parámetros'!G18/(1+2^(-'⚙ Parámetros'!F18*(S30-'⚙ Parámetros'!E18))),1)+20/100*MAX('⚙ Parámetros'!D18/(1+2^(-'⚙ Parámetros'!C18*(T30-'⚙ Parámetros'!B18))),'⚙ Parámetros'!G18/(1+2^(-'⚙ Parámetros'!F18*(T30-'⚙ Parámetros'!E18))),1)+20/100*MAX('⚙ Parámetros'!D18/(1+2^(-'⚙ Parámetros'!C18*(U30-'⚙ Parámetros'!B18))),'⚙ Parámetros'!G18/(1+2^(-'⚙ Parámetros'!F18*(U30-'⚙ Parámetros'!E18))),1)),0)</f>
        <v>6</v>
      </c>
      <c r="AF30" s="89">
        <f>IFERROR((30/100*MAX('⚙ Parámetros'!D19/(1+2^(-'⚙ Parámetros'!C19*(V30-'⚙ Parámetros'!B19))),'⚙ Parámetros'!G19/(1+2^(-'⚙ Parámetros'!F19*(V30-'⚙ Parámetros'!E19))),1)*V30+35/100*MAX('⚙ Parámetros'!D19/(1+2^(-'⚙ Parámetros'!C19*(W30-'⚙ Parámetros'!B19))),'⚙ Parámetros'!G19/(1+2^(-'⚙ Parámetros'!F19*(W30-'⚙ Parámetros'!E19))),1)*W30+35/100*MAX('⚙ Parámetros'!D19/(1+2^(-'⚙ Parámetros'!C19*(X30-'⚙ Parámetros'!B19))),'⚙ Parámetros'!G19/(1+2^(-'⚙ Parámetros'!F19*(X30-'⚙ Parámetros'!E19))),1)*X30)/(30/100*MAX('⚙ Parámetros'!D19/(1+2^(-'⚙ Parámetros'!C19*(V30-'⚙ Parámetros'!B19))),'⚙ Parámetros'!G19/(1+2^(-'⚙ Parámetros'!F19*(V30-'⚙ Parámetros'!E19))),1)+35/100*MAX('⚙ Parámetros'!D19/(1+2^(-'⚙ Parámetros'!C19*(W30-'⚙ Parámetros'!B19))),'⚙ Parámetros'!G19/(1+2^(-'⚙ Parámetros'!F19*(W30-'⚙ Parámetros'!E19))),1)+35/100*MAX('⚙ Parámetros'!D19/(1+2^(-'⚙ Parámetros'!C19*(X30-'⚙ Parámetros'!B19))),'⚙ Parámetros'!G19/(1+2^(-'⚙ Parámetros'!F19*(X30-'⚙ Parámetros'!E19))),1)),0)</f>
        <v>6.0427350427350435</v>
      </c>
      <c r="AG30" s="89">
        <f>IFERROR((35/100*MAX('⚙ Parámetros'!D20/(1+2^(-'⚙ Parámetros'!C20*(Y30-'⚙ Parámetros'!B20))),'⚙ Parámetros'!G20/(1+2^(-'⚙ Parámetros'!F20*(Y30-'⚙ Parámetros'!E20))),1)*Y30+35/100*MAX('⚙ Parámetros'!D20/(1+2^(-'⚙ Parámetros'!C20*(Z30-'⚙ Parámetros'!B20))),'⚙ Parámetros'!G20/(1+2^(-'⚙ Parámetros'!F20*(Z30-'⚙ Parámetros'!E20))),1)*Z30+30/100*MAX('⚙ Parámetros'!D20/(1+2^(-'⚙ Parámetros'!C20*(AA30-'⚙ Parámetros'!B20))),'⚙ Parámetros'!G20/(1+2^(-'⚙ Parámetros'!F20*(AA30-'⚙ Parámetros'!E20))),1)*AA30)/(35/100*MAX('⚙ Parámetros'!D20/(1+2^(-'⚙ Parámetros'!C20*(Y30-'⚙ Parámetros'!B20))),'⚙ Parámetros'!G20/(1+2^(-'⚙ Parámetros'!F20*(Y30-'⚙ Parámetros'!E20))),1)+35/100*MAX('⚙ Parámetros'!D20/(1+2^(-'⚙ Parámetros'!C20*(Z30-'⚙ Parámetros'!B20))),'⚙ Parámetros'!G20/(1+2^(-'⚙ Parámetros'!F20*(Z30-'⚙ Parámetros'!E20))),1)+30/100*MAX('⚙ Parámetros'!D20/(1+2^(-'⚙ Parámetros'!C20*(AA30-'⚙ Parámetros'!B20))),'⚙ Parámetros'!G20/(1+2^(-'⚙ Parámetros'!F20*(AA30-'⚙ Parámetros'!E20))),1)),0)</f>
        <v>4.1369863013698636</v>
      </c>
      <c r="AH30" s="90">
        <f>('⚙ Parámetros'!B5/100*AB30+'⚙ Parámetros'!B6/100*AC30+'⚙ Parámetros'!B7/100*AD30+'⚙ Parámetros'!B8/100*AE30+'⚙ Parámetros'!B9/100*AF30+'⚙ Parámetros'!B10/100*AG30)</f>
        <v>5.4961347350805747</v>
      </c>
      <c r="AI30" s="91">
        <f ca="1">MIN(1+MAX(0,TODAY()-DATE(2026,3,25))/365*'⚙ Parámetros'!B33,'⚙ Parámetros'!B34)</f>
        <v>1.0324657534246575</v>
      </c>
      <c r="AJ30" s="82">
        <f t="shared" ca="1" si="0"/>
        <v>5.674570890178396</v>
      </c>
      <c r="AK30" s="92" t="str">
        <f ca="1">IF(AB30&gt;='⚙ Parámetros'!B23,"⚑ AUTO-PRIOR.(D1≥8)",IF(AJ30&gt;='⚙ Parámetros'!B23,"PRIORITARIO",IF(AJ30&gt;='⚙ Parámetros'!B24,"ALTA PRIORIDAD",IF(AJ30&gt;='⚙ Parámetros'!B25,"PRIORIDAD MEDIA",IF(AJ30&gt;='⚙ Parámetros'!B26,"BAJA PRIORIDAD","DESCARTAR")))))</f>
        <v>PRIORIDAD MEDIA</v>
      </c>
      <c r="AL30" s="69" t="str">
        <f t="shared" si="1"/>
        <v>—</v>
      </c>
      <c r="AM30" s="85">
        <v>121</v>
      </c>
      <c r="AN30" s="83" t="str">
        <f>IF(AM30="","—",IF(AM30&lt;'⚙ Parámetros'!B29,"🟢 Corto",IF(AM30&lt;'⚙ Parámetros'!B30,"🟡 Medio","🔴 Largo")))</f>
        <v>🔴 Largo</v>
      </c>
    </row>
    <row r="31" spans="1:40" ht="18.75" customHeight="1" x14ac:dyDescent="0.25">
      <c r="A31" s="69">
        <v>27</v>
      </c>
      <c r="B31" s="70" t="s">
        <v>193</v>
      </c>
      <c r="C31" s="4" t="s">
        <v>138</v>
      </c>
      <c r="D31" s="71" t="s">
        <v>139</v>
      </c>
      <c r="E31" s="72" t="s">
        <v>194</v>
      </c>
      <c r="F31" s="74">
        <v>1</v>
      </c>
      <c r="G31" s="73">
        <v>7</v>
      </c>
      <c r="H31" s="74">
        <v>1</v>
      </c>
      <c r="I31" s="74">
        <v>1</v>
      </c>
      <c r="J31" s="74">
        <v>1</v>
      </c>
      <c r="K31" s="75">
        <v>8</v>
      </c>
      <c r="L31" s="74">
        <v>1</v>
      </c>
      <c r="M31" s="73">
        <v>3</v>
      </c>
      <c r="N31" s="73">
        <v>7</v>
      </c>
      <c r="O31" s="74">
        <v>1</v>
      </c>
      <c r="P31" s="74">
        <v>1</v>
      </c>
      <c r="Q31" s="74">
        <v>1</v>
      </c>
      <c r="R31" s="76">
        <v>9</v>
      </c>
      <c r="S31" s="76">
        <v>9</v>
      </c>
      <c r="T31" s="73">
        <v>5</v>
      </c>
      <c r="U31" s="73">
        <v>5</v>
      </c>
      <c r="V31" s="77">
        <v>8</v>
      </c>
      <c r="W31" s="73">
        <v>6</v>
      </c>
      <c r="X31" s="77">
        <v>9</v>
      </c>
      <c r="Y31" s="73">
        <v>4</v>
      </c>
      <c r="Z31" s="74">
        <v>2</v>
      </c>
      <c r="AA31" s="79">
        <v>5</v>
      </c>
      <c r="AB31" s="80">
        <f>IFERROR((30/100*MAX('⚙ Parámetros'!D15/(1+2^(-'⚙ Parámetros'!C15*(F31-'⚙ Parámetros'!B15))),'⚙ Parámetros'!G15/(1+2^(-'⚙ Parámetros'!F15*(F31-'⚙ Parámetros'!E15))),1)*F31+30/100*MAX('⚙ Parámetros'!D15/(1+2^(-'⚙ Parámetros'!C15*(G31-'⚙ Parámetros'!B15))),'⚙ Parámetros'!G15/(1+2^(-'⚙ Parámetros'!F15*(G31-'⚙ Parámetros'!E15))),1)*G31+20/100*MAX('⚙ Parámetros'!D15/(1+2^(-'⚙ Parámetros'!C15*(H31-'⚙ Parámetros'!B15))),'⚙ Parámetros'!G15/(1+2^(-'⚙ Parámetros'!F15*(H31-'⚙ Parámetros'!E15))),1)*H31+20/100*MAX('⚙ Parámetros'!D15/(1+2^(-'⚙ Parámetros'!C15*(I31-'⚙ Parámetros'!B15))),'⚙ Parámetros'!G15/(1+2^(-'⚙ Parámetros'!F15*(I31-'⚙ Parámetros'!E15))),1)*I31)/(30/100*MAX('⚙ Parámetros'!D15/(1+2^(-'⚙ Parámetros'!C15*(F31-'⚙ Parámetros'!B15))),'⚙ Parámetros'!G15/(1+2^(-'⚙ Parámetros'!F15*(F31-'⚙ Parámetros'!E15))),1)+30/100*MAX('⚙ Parámetros'!D15/(1+2^(-'⚙ Parámetros'!C15*(G31-'⚙ Parámetros'!B15))),'⚙ Parámetros'!G15/(1+2^(-'⚙ Parámetros'!F15*(G31-'⚙ Parámetros'!E15))),1)+20/100*MAX('⚙ Parámetros'!D15/(1+2^(-'⚙ Parámetros'!C15*(H31-'⚙ Parámetros'!B15))),'⚙ Parámetros'!G15/(1+2^(-'⚙ Parámetros'!F15*(H31-'⚙ Parámetros'!E15))),1)+20/100*MAX('⚙ Parámetros'!D15/(1+2^(-'⚙ Parámetros'!C15*(I31-'⚙ Parámetros'!B15))),'⚙ Parámetros'!G15/(1+2^(-'⚙ Parámetros'!F15*(I31-'⚙ Parámetros'!E15))),1)),0)</f>
        <v>4.9512195121951219</v>
      </c>
      <c r="AC31" s="80">
        <f>IFERROR((35/100*MAX('⚙ Parámetros'!D16/(1+2^(-'⚙ Parámetros'!C16*(J31-'⚙ Parámetros'!B16))),'⚙ Parámetros'!G16/(1+2^(-'⚙ Parámetros'!F16*(J31-'⚙ Parámetros'!E16))),1)*J31+25/100*MAX('⚙ Parámetros'!D16/(1+2^(-'⚙ Parámetros'!C16*(K31-'⚙ Parámetros'!B16))),'⚙ Parámetros'!G16/(1+2^(-'⚙ Parámetros'!F16*(K31-'⚙ Parámetros'!E16))),1)*K31+20/100*MAX('⚙ Parámetros'!D16/(1+2^(-'⚙ Parámetros'!C16*(L31-'⚙ Parámetros'!B16))),'⚙ Parámetros'!G16/(1+2^(-'⚙ Parámetros'!F16*(L31-'⚙ Parámetros'!E16))),1)*L31+20/100*MAX('⚙ Parámetros'!D16/(1+2^(-'⚙ Parámetros'!C16*(M31-'⚙ Parámetros'!B16))),'⚙ Parámetros'!G16/(1+2^(-'⚙ Parámetros'!F16*(M31-'⚙ Parámetros'!E16))),1)*M31)/(35/100*MAX('⚙ Parámetros'!D16/(1+2^(-'⚙ Parámetros'!C16*(J31-'⚙ Parámetros'!B16))),'⚙ Parámetros'!G16/(1+2^(-'⚙ Parámetros'!F16*(J31-'⚙ Parámetros'!E16))),1)+25/100*MAX('⚙ Parámetros'!D16/(1+2^(-'⚙ Parámetros'!C16*(K31-'⚙ Parámetros'!B16))),'⚙ Parámetros'!G16/(1+2^(-'⚙ Parámetros'!F16*(K31-'⚙ Parámetros'!E16))),1)+20/100*MAX('⚙ Parámetros'!D16/(1+2^(-'⚙ Parámetros'!C16*(L31-'⚙ Parámetros'!B16))),'⚙ Parámetros'!G16/(1+2^(-'⚙ Parámetros'!F16*(L31-'⚙ Parámetros'!E16))),1)+20/100*MAX('⚙ Parámetros'!D16/(1+2^(-'⚙ Parámetros'!C16*(M31-'⚙ Parámetros'!B16))),'⚙ Parámetros'!G16/(1+2^(-'⚙ Parámetros'!F16*(M31-'⚙ Parámetros'!E16))),1)),0)</f>
        <v>5.4133333333333322</v>
      </c>
      <c r="AD31" s="80">
        <f>IFERROR((30/100*MAX('⚙ Parámetros'!D17/(1+2^(-'⚙ Parámetros'!C17*(N31-'⚙ Parámetros'!B17))),'⚙ Parámetros'!G17/(1+2^(-'⚙ Parámetros'!F17*(N31-'⚙ Parámetros'!E17))),1)*N31+25/100*MAX('⚙ Parámetros'!D17/(1+2^(-'⚙ Parámetros'!C17*(O31-'⚙ Parámetros'!B17))),'⚙ Parámetros'!G17/(1+2^(-'⚙ Parámetros'!F17*(O31-'⚙ Parámetros'!E17))),1)*O31+25/100*MAX('⚙ Parámetros'!D17/(1+2^(-'⚙ Parámetros'!C17*(P31-'⚙ Parámetros'!B17))),'⚙ Parámetros'!G17/(1+2^(-'⚙ Parámetros'!F17*(P31-'⚙ Parámetros'!E17))),1)*P31+20/100*MAX('⚙ Parámetros'!D17/(1+2^(-'⚙ Parámetros'!C17*(Q31-'⚙ Parámetros'!B17))),'⚙ Parámetros'!G17/(1+2^(-'⚙ Parámetros'!F17*(Q31-'⚙ Parámetros'!E17))),1)*Q31)/(30/100*MAX('⚙ Parámetros'!D17/(1+2^(-'⚙ Parámetros'!C17*(N31-'⚙ Parámetros'!B17))),'⚙ Parámetros'!G17/(1+2^(-'⚙ Parámetros'!F17*(N31-'⚙ Parámetros'!E17))),1)+25/100*MAX('⚙ Parámetros'!D17/(1+2^(-'⚙ Parámetros'!C17*(O31-'⚙ Parámetros'!B17))),'⚙ Parámetros'!G17/(1+2^(-'⚙ Parámetros'!F17*(O31-'⚙ Parámetros'!E17))),1)+25/100*MAX('⚙ Parámetros'!D17/(1+2^(-'⚙ Parámetros'!C17*(P31-'⚙ Parámetros'!B17))),'⚙ Parámetros'!G17/(1+2^(-'⚙ Parámetros'!F17*(P31-'⚙ Parámetros'!E17))),1)+20/100*MAX('⚙ Parámetros'!D17/(1+2^(-'⚙ Parámetros'!C17*(Q31-'⚙ Parámetros'!B17))),'⚙ Parámetros'!G17/(1+2^(-'⚙ Parámetros'!F17*(Q31-'⚙ Parámetros'!E17))),1)),0)</f>
        <v>4.2</v>
      </c>
      <c r="AE31" s="80">
        <f>IFERROR((30/100*MAX('⚙ Parámetros'!D18/(1+2^(-'⚙ Parámetros'!C18*(R31-'⚙ Parámetros'!B18))),'⚙ Parámetros'!G18/(1+2^(-'⚙ Parámetros'!F18*(R31-'⚙ Parámetros'!E18))),1)*R31+30/100*MAX('⚙ Parámetros'!D18/(1+2^(-'⚙ Parámetros'!C18*(S31-'⚙ Parámetros'!B18))),'⚙ Parámetros'!G18/(1+2^(-'⚙ Parámetros'!F18*(S31-'⚙ Parámetros'!E18))),1)*S31+20/100*MAX('⚙ Parámetros'!D18/(1+2^(-'⚙ Parámetros'!C18*(T31-'⚙ Parámetros'!B18))),'⚙ Parámetros'!G18/(1+2^(-'⚙ Parámetros'!F18*(T31-'⚙ Parámetros'!E18))),1)*T31+20/100*MAX('⚙ Parámetros'!D18/(1+2^(-'⚙ Parámetros'!C18*(U31-'⚙ Parámetros'!B18))),'⚙ Parámetros'!G18/(1+2^(-'⚙ Parámetros'!F18*(U31-'⚙ Parámetros'!E18))),1)*U31)/(30/100*MAX('⚙ Parámetros'!D18/(1+2^(-'⚙ Parámetros'!C18*(R31-'⚙ Parámetros'!B18))),'⚙ Parámetros'!G18/(1+2^(-'⚙ Parámetros'!F18*(R31-'⚙ Parámetros'!E18))),1)+30/100*MAX('⚙ Parámetros'!D18/(1+2^(-'⚙ Parámetros'!C18*(S31-'⚙ Parámetros'!B18))),'⚙ Parámetros'!G18/(1+2^(-'⚙ Parámetros'!F18*(S31-'⚙ Parámetros'!E18))),1)+20/100*MAX('⚙ Parámetros'!D18/(1+2^(-'⚙ Parámetros'!C18*(T31-'⚙ Parámetros'!B18))),'⚙ Parámetros'!G18/(1+2^(-'⚙ Parámetros'!F18*(T31-'⚙ Parámetros'!E18))),1)+20/100*MAX('⚙ Parámetros'!D18/(1+2^(-'⚙ Parámetros'!C18*(U31-'⚙ Parámetros'!B18))),'⚙ Parámetros'!G18/(1+2^(-'⚙ Parámetros'!F18*(U31-'⚙ Parámetros'!E18))),1)),0)</f>
        <v>8.1801060365339655</v>
      </c>
      <c r="AF31" s="80">
        <f>IFERROR((30/100*MAX('⚙ Parámetros'!D19/(1+2^(-'⚙ Parámetros'!C19*(V31-'⚙ Parámetros'!B19))),'⚙ Parámetros'!G19/(1+2^(-'⚙ Parámetros'!F19*(V31-'⚙ Parámetros'!E19))),1)*V31+35/100*MAX('⚙ Parámetros'!D19/(1+2^(-'⚙ Parámetros'!C19*(W31-'⚙ Parámetros'!B19))),'⚙ Parámetros'!G19/(1+2^(-'⚙ Parámetros'!F19*(W31-'⚙ Parámetros'!E19))),1)*W31+35/100*MAX('⚙ Parámetros'!D19/(1+2^(-'⚙ Parámetros'!C19*(X31-'⚙ Parámetros'!B19))),'⚙ Parámetros'!G19/(1+2^(-'⚙ Parámetros'!F19*(X31-'⚙ Parámetros'!E19))),1)*X31)/(30/100*MAX('⚙ Parámetros'!D19/(1+2^(-'⚙ Parámetros'!C19*(V31-'⚙ Parámetros'!B19))),'⚙ Parámetros'!G19/(1+2^(-'⚙ Parámetros'!F19*(V31-'⚙ Parámetros'!E19))),1)+35/100*MAX('⚙ Parámetros'!D19/(1+2^(-'⚙ Parámetros'!C19*(W31-'⚙ Parámetros'!B19))),'⚙ Parámetros'!G19/(1+2^(-'⚙ Parámetros'!F19*(W31-'⚙ Parámetros'!E19))),1)+35/100*MAX('⚙ Parámetros'!D19/(1+2^(-'⚙ Parámetros'!C19*(X31-'⚙ Parámetros'!B19))),'⚙ Parámetros'!G19/(1+2^(-'⚙ Parámetros'!F19*(X31-'⚙ Parámetros'!E19))),1)),0)</f>
        <v>8.0351483057098907</v>
      </c>
      <c r="AG31" s="80">
        <f>IFERROR((35/100*MAX('⚙ Parámetros'!D20/(1+2^(-'⚙ Parámetros'!C20*(Y31-'⚙ Parámetros'!B20))),'⚙ Parámetros'!G20/(1+2^(-'⚙ Parámetros'!F20*(Y31-'⚙ Parámetros'!E20))),1)*Y31+35/100*MAX('⚙ Parámetros'!D20/(1+2^(-'⚙ Parámetros'!C20*(Z31-'⚙ Parámetros'!B20))),'⚙ Parámetros'!G20/(1+2^(-'⚙ Parámetros'!F20*(Z31-'⚙ Parámetros'!E20))),1)*Z31+30/100*MAX('⚙ Parámetros'!D20/(1+2^(-'⚙ Parámetros'!C20*(AA31-'⚙ Parámetros'!B20))),'⚙ Parámetros'!G20/(1+2^(-'⚙ Parámetros'!F20*(AA31-'⚙ Parámetros'!E20))),1)*AA31)/(35/100*MAX('⚙ Parámetros'!D20/(1+2^(-'⚙ Parámetros'!C20*(Y31-'⚙ Parámetros'!B20))),'⚙ Parámetros'!G20/(1+2^(-'⚙ Parámetros'!F20*(Y31-'⚙ Parámetros'!E20))),1)+35/100*MAX('⚙ Parámetros'!D20/(1+2^(-'⚙ Parámetros'!C20*(Z31-'⚙ Parámetros'!B20))),'⚙ Parámetros'!G20/(1+2^(-'⚙ Parámetros'!F20*(Z31-'⚙ Parámetros'!E20))),1)+30/100*MAX('⚙ Parámetros'!D20/(1+2^(-'⚙ Parámetros'!C20*(AA31-'⚙ Parámetros'!B20))),'⚙ Parámetros'!G20/(1+2^(-'⚙ Parámetros'!F20*(AA31-'⚙ Parámetros'!E20))),1)),0)</f>
        <v>3.7272727272727275</v>
      </c>
      <c r="AH31" s="81">
        <f>('⚙ Parámetros'!B5/100*AB31+'⚙ Parámetros'!B6/100*AC31+'⚙ Parámetros'!B7/100*AD31+'⚙ Parámetros'!B8/100*AE31+'⚙ Parámetros'!B9/100*AF31+'⚙ Parámetros'!B10/100*AG31)</f>
        <v>5.4913418934620859</v>
      </c>
      <c r="AI31" s="33">
        <f ca="1">MIN(1+MAX(0,TODAY()-DATE(2026,5,12))/365*'⚙ Parámetros'!B33,'⚙ Parámetros'!B34)</f>
        <v>1.0127397260273974</v>
      </c>
      <c r="AJ31" s="82">
        <f t="shared" ca="1" si="0"/>
        <v>5.561300084707562</v>
      </c>
      <c r="AK31" s="83" t="str">
        <f ca="1">IF(AB31&gt;='⚙ Parámetros'!B23,"⚑ AUTO-PRIOR.(D1≥8)",IF(AJ31&gt;='⚙ Parámetros'!B23,"PRIORITARIO",IF(AJ31&gt;='⚙ Parámetros'!B24,"ALTA PRIORIDAD",IF(AJ31&gt;='⚙ Parámetros'!B25,"PRIORIDAD MEDIA",IF(AJ31&gt;='⚙ Parámetros'!B26,"BAJA PRIORIDAD","DESCARTAR")))))</f>
        <v>PRIORIDAD MEDIA</v>
      </c>
      <c r="AL31" s="84" t="str">
        <f t="shared" si="1"/>
        <v>—</v>
      </c>
      <c r="AM31" s="85">
        <v>116</v>
      </c>
      <c r="AN31" s="83" t="str">
        <f>IF(AM31="","—",IF(AM31&lt;'⚙ Parámetros'!B29,"🟢 Corto",IF(AM31&lt;'⚙ Parámetros'!B30,"🟡 Medio","🔴 Largo")))</f>
        <v>🔴 Largo</v>
      </c>
    </row>
    <row r="32" spans="1:40" ht="18.75" customHeight="1" x14ac:dyDescent="0.25">
      <c r="A32" s="69">
        <v>28</v>
      </c>
      <c r="B32" s="30" t="s">
        <v>195</v>
      </c>
      <c r="C32" s="26" t="s">
        <v>142</v>
      </c>
      <c r="D32" s="71" t="s">
        <v>163</v>
      </c>
      <c r="E32" s="72" t="s">
        <v>143</v>
      </c>
      <c r="F32" s="74">
        <v>8</v>
      </c>
      <c r="G32" s="86">
        <v>5</v>
      </c>
      <c r="H32" s="86">
        <v>7</v>
      </c>
      <c r="I32" s="74">
        <v>8</v>
      </c>
      <c r="J32" s="74">
        <v>1</v>
      </c>
      <c r="K32" s="74">
        <v>1</v>
      </c>
      <c r="L32" s="74">
        <v>1</v>
      </c>
      <c r="M32" s="86">
        <v>3</v>
      </c>
      <c r="N32" s="74">
        <v>1</v>
      </c>
      <c r="O32" s="86">
        <v>6</v>
      </c>
      <c r="P32" s="74">
        <v>1</v>
      </c>
      <c r="Q32" s="87">
        <v>8</v>
      </c>
      <c r="R32" s="86">
        <v>5</v>
      </c>
      <c r="S32" s="86">
        <v>5</v>
      </c>
      <c r="T32" s="86">
        <v>5</v>
      </c>
      <c r="U32" s="86">
        <v>5</v>
      </c>
      <c r="V32" s="77">
        <v>8</v>
      </c>
      <c r="W32" s="86">
        <v>6</v>
      </c>
      <c r="X32" s="77">
        <v>9</v>
      </c>
      <c r="Y32" s="86">
        <v>4</v>
      </c>
      <c r="Z32" s="74">
        <v>2</v>
      </c>
      <c r="AA32" s="88">
        <v>8</v>
      </c>
      <c r="AB32" s="89">
        <f>IFERROR((30/100*MAX('⚙ Parámetros'!D15/(1+2^(-'⚙ Parámetros'!C15*(F32-'⚙ Parámetros'!B15))),'⚙ Parámetros'!G15/(1+2^(-'⚙ Parámetros'!F15*(F32-'⚙ Parámetros'!E15))),1)*F32+30/100*MAX('⚙ Parámetros'!D15/(1+2^(-'⚙ Parámetros'!C15*(G32-'⚙ Parámetros'!B15))),'⚙ Parámetros'!G15/(1+2^(-'⚙ Parámetros'!F15*(G32-'⚙ Parámetros'!E15))),1)*G32+20/100*MAX('⚙ Parámetros'!D15/(1+2^(-'⚙ Parámetros'!C15*(H32-'⚙ Parámetros'!B15))),'⚙ Parámetros'!G15/(1+2^(-'⚙ Parámetros'!F15*(H32-'⚙ Parámetros'!E15))),1)*H32+20/100*MAX('⚙ Parámetros'!D15/(1+2^(-'⚙ Parámetros'!C15*(I32-'⚙ Parámetros'!B15))),'⚙ Parámetros'!G15/(1+2^(-'⚙ Parámetros'!F15*(I32-'⚙ Parámetros'!E15))),1)*I32)/(30/100*MAX('⚙ Parámetros'!D15/(1+2^(-'⚙ Parámetros'!C15*(F32-'⚙ Parámetros'!B15))),'⚙ Parámetros'!G15/(1+2^(-'⚙ Parámetros'!F15*(F32-'⚙ Parámetros'!E15))),1)+30/100*MAX('⚙ Parámetros'!D15/(1+2^(-'⚙ Parámetros'!C15*(G32-'⚙ Parámetros'!B15))),'⚙ Parámetros'!G15/(1+2^(-'⚙ Parámetros'!F15*(G32-'⚙ Parámetros'!E15))),1)+20/100*MAX('⚙ Parámetros'!D15/(1+2^(-'⚙ Parámetros'!C15*(H32-'⚙ Parámetros'!B15))),'⚙ Parámetros'!G15/(1+2^(-'⚙ Parámetros'!F15*(H32-'⚙ Parámetros'!E15))),1)+20/100*MAX('⚙ Parámetros'!D15/(1+2^(-'⚙ Parámetros'!C15*(I32-'⚙ Parámetros'!B15))),'⚙ Parámetros'!G15/(1+2^(-'⚙ Parámetros'!F15*(I32-'⚙ Parámetros'!E15))),1)),0)</f>
        <v>7.5301204819277103</v>
      </c>
      <c r="AC32" s="89">
        <f>IFERROR((35/100*MAX('⚙ Parámetros'!D16/(1+2^(-'⚙ Parámetros'!C16*(J32-'⚙ Parámetros'!B16))),'⚙ Parámetros'!G16/(1+2^(-'⚙ Parámetros'!F16*(J32-'⚙ Parámetros'!E16))),1)*J32+25/100*MAX('⚙ Parámetros'!D16/(1+2^(-'⚙ Parámetros'!C16*(K32-'⚙ Parámetros'!B16))),'⚙ Parámetros'!G16/(1+2^(-'⚙ Parámetros'!F16*(K32-'⚙ Parámetros'!E16))),1)*K32+20/100*MAX('⚙ Parámetros'!D16/(1+2^(-'⚙ Parámetros'!C16*(L32-'⚙ Parámetros'!B16))),'⚙ Parámetros'!G16/(1+2^(-'⚙ Parámetros'!F16*(L32-'⚙ Parámetros'!E16))),1)*L32+20/100*MAX('⚙ Parámetros'!D16/(1+2^(-'⚙ Parámetros'!C16*(M32-'⚙ Parámetros'!B16))),'⚙ Parámetros'!G16/(1+2^(-'⚙ Parámetros'!F16*(M32-'⚙ Parámetros'!E16))),1)*M32)/(35/100*MAX('⚙ Parámetros'!D16/(1+2^(-'⚙ Parámetros'!C16*(J32-'⚙ Parámetros'!B16))),'⚙ Parámetros'!G16/(1+2^(-'⚙ Parámetros'!F16*(J32-'⚙ Parámetros'!E16))),1)+25/100*MAX('⚙ Parámetros'!D16/(1+2^(-'⚙ Parámetros'!C16*(K32-'⚙ Parámetros'!B16))),'⚙ Parámetros'!G16/(1+2^(-'⚙ Parámetros'!F16*(K32-'⚙ Parámetros'!E16))),1)+20/100*MAX('⚙ Parámetros'!D16/(1+2^(-'⚙ Parámetros'!C16*(L32-'⚙ Parámetros'!B16))),'⚙ Parámetros'!G16/(1+2^(-'⚙ Parámetros'!F16*(L32-'⚙ Parámetros'!E16))),1)+20/100*MAX('⚙ Parámetros'!D16/(1+2^(-'⚙ Parámetros'!C16*(M32-'⚙ Parámetros'!B16))),'⚙ Parámetros'!G16/(1+2^(-'⚙ Parámetros'!F16*(M32-'⚙ Parámetros'!E16))),1)),0)</f>
        <v>1.4000000000000001</v>
      </c>
      <c r="AD32" s="89">
        <f>IFERROR((30/100*MAX('⚙ Parámetros'!D17/(1+2^(-'⚙ Parámetros'!C17*(N32-'⚙ Parámetros'!B17))),'⚙ Parámetros'!G17/(1+2^(-'⚙ Parámetros'!F17*(N32-'⚙ Parámetros'!E17))),1)*N32+25/100*MAX('⚙ Parámetros'!D17/(1+2^(-'⚙ Parámetros'!C17*(O32-'⚙ Parámetros'!B17))),'⚙ Parámetros'!G17/(1+2^(-'⚙ Parámetros'!F17*(O32-'⚙ Parámetros'!E17))),1)*O32+25/100*MAX('⚙ Parámetros'!D17/(1+2^(-'⚙ Parámetros'!C17*(P32-'⚙ Parámetros'!B17))),'⚙ Parámetros'!G17/(1+2^(-'⚙ Parámetros'!F17*(P32-'⚙ Parámetros'!E17))),1)*P32+20/100*MAX('⚙ Parámetros'!D17/(1+2^(-'⚙ Parámetros'!C17*(Q32-'⚙ Parámetros'!B17))),'⚙ Parámetros'!G17/(1+2^(-'⚙ Parámetros'!F17*(Q32-'⚙ Parámetros'!E17))),1)*Q32)/(30/100*MAX('⚙ Parámetros'!D17/(1+2^(-'⚙ Parámetros'!C17*(N32-'⚙ Parámetros'!B17))),'⚙ Parámetros'!G17/(1+2^(-'⚙ Parámetros'!F17*(N32-'⚙ Parámetros'!E17))),1)+25/100*MAX('⚙ Parámetros'!D17/(1+2^(-'⚙ Parámetros'!C17*(O32-'⚙ Parámetros'!B17))),'⚙ Parámetros'!G17/(1+2^(-'⚙ Parámetros'!F17*(O32-'⚙ Parámetros'!E17))),1)+25/100*MAX('⚙ Parámetros'!D17/(1+2^(-'⚙ Parámetros'!C17*(P32-'⚙ Parámetros'!B17))),'⚙ Parámetros'!G17/(1+2^(-'⚙ Parámetros'!F17*(P32-'⚙ Parámetros'!E17))),1)+20/100*MAX('⚙ Parámetros'!D17/(1+2^(-'⚙ Parámetros'!C17*(Q32-'⚙ Parámetros'!B17))),'⚙ Parámetros'!G17/(1+2^(-'⚙ Parámetros'!F17*(Q32-'⚙ Parámetros'!E17))),1)),0)</f>
        <v>5.4102564102564106</v>
      </c>
      <c r="AE32" s="89">
        <f>IFERROR((30/100*MAX('⚙ Parámetros'!D18/(1+2^(-'⚙ Parámetros'!C18*(R32-'⚙ Parámetros'!B18))),'⚙ Parámetros'!G18/(1+2^(-'⚙ Parámetros'!F18*(R32-'⚙ Parámetros'!E18))),1)*R32+30/100*MAX('⚙ Parámetros'!D18/(1+2^(-'⚙ Parámetros'!C18*(S32-'⚙ Parámetros'!B18))),'⚙ Parámetros'!G18/(1+2^(-'⚙ Parámetros'!F18*(S32-'⚙ Parámetros'!E18))),1)*S32+20/100*MAX('⚙ Parámetros'!D18/(1+2^(-'⚙ Parámetros'!C18*(T32-'⚙ Parámetros'!B18))),'⚙ Parámetros'!G18/(1+2^(-'⚙ Parámetros'!F18*(T32-'⚙ Parámetros'!E18))),1)*T32+20/100*MAX('⚙ Parámetros'!D18/(1+2^(-'⚙ Parámetros'!C18*(U32-'⚙ Parámetros'!B18))),'⚙ Parámetros'!G18/(1+2^(-'⚙ Parámetros'!F18*(U32-'⚙ Parámetros'!E18))),1)*U32)/(30/100*MAX('⚙ Parámetros'!D18/(1+2^(-'⚙ Parámetros'!C18*(R32-'⚙ Parámetros'!B18))),'⚙ Parámetros'!G18/(1+2^(-'⚙ Parámetros'!F18*(R32-'⚙ Parámetros'!E18))),1)+30/100*MAX('⚙ Parámetros'!D18/(1+2^(-'⚙ Parámetros'!C18*(S32-'⚙ Parámetros'!B18))),'⚙ Parámetros'!G18/(1+2^(-'⚙ Parámetros'!F18*(S32-'⚙ Parámetros'!E18))),1)+20/100*MAX('⚙ Parámetros'!D18/(1+2^(-'⚙ Parámetros'!C18*(T32-'⚙ Parámetros'!B18))),'⚙ Parámetros'!G18/(1+2^(-'⚙ Parámetros'!F18*(T32-'⚙ Parámetros'!E18))),1)+20/100*MAX('⚙ Parámetros'!D18/(1+2^(-'⚙ Parámetros'!C18*(U32-'⚙ Parámetros'!B18))),'⚙ Parámetros'!G18/(1+2^(-'⚙ Parámetros'!F18*(U32-'⚙ Parámetros'!E18))),1)),0)</f>
        <v>5</v>
      </c>
      <c r="AF32" s="89">
        <f>IFERROR((30/100*MAX('⚙ Parámetros'!D19/(1+2^(-'⚙ Parámetros'!C19*(V32-'⚙ Parámetros'!B19))),'⚙ Parámetros'!G19/(1+2^(-'⚙ Parámetros'!F19*(V32-'⚙ Parámetros'!E19))),1)*V32+35/100*MAX('⚙ Parámetros'!D19/(1+2^(-'⚙ Parámetros'!C19*(W32-'⚙ Parámetros'!B19))),'⚙ Parámetros'!G19/(1+2^(-'⚙ Parámetros'!F19*(W32-'⚙ Parámetros'!E19))),1)*W32+35/100*MAX('⚙ Parámetros'!D19/(1+2^(-'⚙ Parámetros'!C19*(X32-'⚙ Parámetros'!B19))),'⚙ Parámetros'!G19/(1+2^(-'⚙ Parámetros'!F19*(X32-'⚙ Parámetros'!E19))),1)*X32)/(30/100*MAX('⚙ Parámetros'!D19/(1+2^(-'⚙ Parámetros'!C19*(V32-'⚙ Parámetros'!B19))),'⚙ Parámetros'!G19/(1+2^(-'⚙ Parámetros'!F19*(V32-'⚙ Parámetros'!E19))),1)+35/100*MAX('⚙ Parámetros'!D19/(1+2^(-'⚙ Parámetros'!C19*(W32-'⚙ Parámetros'!B19))),'⚙ Parámetros'!G19/(1+2^(-'⚙ Parámetros'!F19*(W32-'⚙ Parámetros'!E19))),1)+35/100*MAX('⚙ Parámetros'!D19/(1+2^(-'⚙ Parámetros'!C19*(X32-'⚙ Parámetros'!B19))),'⚙ Parámetros'!G19/(1+2^(-'⚙ Parámetros'!F19*(X32-'⚙ Parámetros'!E19))),1)),0)</f>
        <v>8.0351483057098907</v>
      </c>
      <c r="AG32" s="89">
        <f>IFERROR((35/100*MAX('⚙ Parámetros'!D20/(1+2^(-'⚙ Parámetros'!C20*(Y32-'⚙ Parámetros'!B20))),'⚙ Parámetros'!G20/(1+2^(-'⚙ Parámetros'!F20*(Y32-'⚙ Parámetros'!E20))),1)*Y32+35/100*MAX('⚙ Parámetros'!D20/(1+2^(-'⚙ Parámetros'!C20*(Z32-'⚙ Parámetros'!B20))),'⚙ Parámetros'!G20/(1+2^(-'⚙ Parámetros'!F20*(Z32-'⚙ Parámetros'!E20))),1)*Z32+30/100*MAX('⚙ Parámetros'!D20/(1+2^(-'⚙ Parámetros'!C20*(AA32-'⚙ Parámetros'!B20))),'⚙ Parámetros'!G20/(1+2^(-'⚙ Parámetros'!F20*(AA32-'⚙ Parámetros'!E20))),1)*AA32)/(35/100*MAX('⚙ Parámetros'!D20/(1+2^(-'⚙ Parámetros'!C20*(Y32-'⚙ Parámetros'!B20))),'⚙ Parámetros'!G20/(1+2^(-'⚙ Parámetros'!F20*(Y32-'⚙ Parámetros'!E20))),1)+35/100*MAX('⚙ Parámetros'!D20/(1+2^(-'⚙ Parámetros'!C20*(Z32-'⚙ Parámetros'!B20))),'⚙ Parámetros'!G20/(1+2^(-'⚙ Parámetros'!F20*(Z32-'⚙ Parámetros'!E20))),1)+30/100*MAX('⚙ Parámetros'!D20/(1+2^(-'⚙ Parámetros'!C20*(AA32-'⚙ Parámetros'!B20))),'⚙ Parámetros'!G20/(1+2^(-'⚙ Parámetros'!F20*(AA32-'⚙ Parámetros'!E20))),1)),0)</f>
        <v>5.8125</v>
      </c>
      <c r="AH32" s="90">
        <f>('⚙ Parámetros'!B5/100*AB32+'⚙ Parámetros'!B6/100*AC32+'⚙ Parámetros'!B7/100*AD32+'⚙ Parámetros'!B8/100*AE32+'⚙ Parámetros'!B9/100*AF32+'⚙ Parámetros'!B10/100*AG32)</f>
        <v>5.489602257200584</v>
      </c>
      <c r="AI32" s="91">
        <f ca="1">MIN(1+MAX(0,TODAY()-DATE(2026,1,14))/365*'⚙ Parámetros'!B33,'⚙ Parámetros'!B34)</f>
        <v>1.0612328767123287</v>
      </c>
      <c r="AJ32" s="82">
        <f t="shared" ca="1" si="0"/>
        <v>5.8257463954154689</v>
      </c>
      <c r="AK32" s="92" t="str">
        <f ca="1">IF(AB32&gt;='⚙ Parámetros'!B23,"⚑ AUTO-PRIOR.(D1≥8)",IF(AJ32&gt;='⚙ Parámetros'!B23,"PRIORITARIO",IF(AJ32&gt;='⚙ Parámetros'!B24,"ALTA PRIORIDAD",IF(AJ32&gt;='⚙ Parámetros'!B25,"PRIORIDAD MEDIA",IF(AJ32&gt;='⚙ Parámetros'!B26,"BAJA PRIORIDAD","DESCARTAR")))))</f>
        <v>PRIORIDAD MEDIA</v>
      </c>
      <c r="AL32" s="69" t="str">
        <f t="shared" si="1"/>
        <v>—</v>
      </c>
      <c r="AM32" s="85">
        <v>138</v>
      </c>
      <c r="AN32" s="83" t="str">
        <f>IF(AM32="","—",IF(AM32&lt;'⚙ Parámetros'!B29,"🟢 Corto",IF(AM32&lt;'⚙ Parámetros'!B30,"🟡 Medio","🔴 Largo")))</f>
        <v>🔴 Largo</v>
      </c>
    </row>
    <row r="33" spans="1:40" ht="18.75" customHeight="1" x14ac:dyDescent="0.25">
      <c r="A33" s="69">
        <v>29</v>
      </c>
      <c r="B33" s="70" t="s">
        <v>196</v>
      </c>
      <c r="C33" s="4" t="s">
        <v>135</v>
      </c>
      <c r="D33" s="71" t="s">
        <v>167</v>
      </c>
      <c r="E33" s="72" t="s">
        <v>197</v>
      </c>
      <c r="F33" s="74">
        <v>1</v>
      </c>
      <c r="G33" s="73">
        <v>7</v>
      </c>
      <c r="H33" s="74">
        <v>1</v>
      </c>
      <c r="I33" s="74">
        <v>1</v>
      </c>
      <c r="J33" s="74">
        <v>1</v>
      </c>
      <c r="K33" s="74">
        <v>1</v>
      </c>
      <c r="L33" s="75">
        <v>8</v>
      </c>
      <c r="M33" s="73">
        <v>3</v>
      </c>
      <c r="N33" s="73">
        <v>7</v>
      </c>
      <c r="O33" s="74">
        <v>1</v>
      </c>
      <c r="P33" s="74">
        <v>1</v>
      </c>
      <c r="Q33" s="74">
        <v>1</v>
      </c>
      <c r="R33" s="76">
        <v>9</v>
      </c>
      <c r="S33" s="76">
        <v>9</v>
      </c>
      <c r="T33" s="73">
        <v>5</v>
      </c>
      <c r="U33" s="73">
        <v>5</v>
      </c>
      <c r="V33" s="77">
        <v>8</v>
      </c>
      <c r="W33" s="73">
        <v>6</v>
      </c>
      <c r="X33" s="77">
        <v>9</v>
      </c>
      <c r="Y33" s="73">
        <v>4</v>
      </c>
      <c r="Z33" s="74">
        <v>2</v>
      </c>
      <c r="AA33" s="79">
        <v>5</v>
      </c>
      <c r="AB33" s="80">
        <f>IFERROR((30/100*MAX('⚙ Parámetros'!D15/(1+2^(-'⚙ Parámetros'!C15*(F33-'⚙ Parámetros'!B15))),'⚙ Parámetros'!G15/(1+2^(-'⚙ Parámetros'!F15*(F33-'⚙ Parámetros'!E15))),1)*F33+30/100*MAX('⚙ Parámetros'!D15/(1+2^(-'⚙ Parámetros'!C15*(G33-'⚙ Parámetros'!B15))),'⚙ Parámetros'!G15/(1+2^(-'⚙ Parámetros'!F15*(G33-'⚙ Parámetros'!E15))),1)*G33+20/100*MAX('⚙ Parámetros'!D15/(1+2^(-'⚙ Parámetros'!C15*(H33-'⚙ Parámetros'!B15))),'⚙ Parámetros'!G15/(1+2^(-'⚙ Parámetros'!F15*(H33-'⚙ Parámetros'!E15))),1)*H33+20/100*MAX('⚙ Parámetros'!D15/(1+2^(-'⚙ Parámetros'!C15*(I33-'⚙ Parámetros'!B15))),'⚙ Parámetros'!G15/(1+2^(-'⚙ Parámetros'!F15*(I33-'⚙ Parámetros'!E15))),1)*I33)/(30/100*MAX('⚙ Parámetros'!D15/(1+2^(-'⚙ Parámetros'!C15*(F33-'⚙ Parámetros'!B15))),'⚙ Parámetros'!G15/(1+2^(-'⚙ Parámetros'!F15*(F33-'⚙ Parámetros'!E15))),1)+30/100*MAX('⚙ Parámetros'!D15/(1+2^(-'⚙ Parámetros'!C15*(G33-'⚙ Parámetros'!B15))),'⚙ Parámetros'!G15/(1+2^(-'⚙ Parámetros'!F15*(G33-'⚙ Parámetros'!E15))),1)+20/100*MAX('⚙ Parámetros'!D15/(1+2^(-'⚙ Parámetros'!C15*(H33-'⚙ Parámetros'!B15))),'⚙ Parámetros'!G15/(1+2^(-'⚙ Parámetros'!F15*(H33-'⚙ Parámetros'!E15))),1)+20/100*MAX('⚙ Parámetros'!D15/(1+2^(-'⚙ Parámetros'!C15*(I33-'⚙ Parámetros'!B15))),'⚙ Parámetros'!G15/(1+2^(-'⚙ Parámetros'!F15*(I33-'⚙ Parámetros'!E15))),1)),0)</f>
        <v>4.9512195121951219</v>
      </c>
      <c r="AC33" s="80">
        <f>IFERROR((35/100*MAX('⚙ Parámetros'!D16/(1+2^(-'⚙ Parámetros'!C16*(J33-'⚙ Parámetros'!B16))),'⚙ Parámetros'!G16/(1+2^(-'⚙ Parámetros'!F16*(J33-'⚙ Parámetros'!E16))),1)*J33+25/100*MAX('⚙ Parámetros'!D16/(1+2^(-'⚙ Parámetros'!C16*(K33-'⚙ Parámetros'!B16))),'⚙ Parámetros'!G16/(1+2^(-'⚙ Parámetros'!F16*(K33-'⚙ Parámetros'!E16))),1)*K33+20/100*MAX('⚙ Parámetros'!D16/(1+2^(-'⚙ Parámetros'!C16*(L33-'⚙ Parámetros'!B16))),'⚙ Parámetros'!G16/(1+2^(-'⚙ Parámetros'!F16*(L33-'⚙ Parámetros'!E16))),1)*L33+20/100*MAX('⚙ Parámetros'!D16/(1+2^(-'⚙ Parámetros'!C16*(M33-'⚙ Parámetros'!B16))),'⚙ Parámetros'!G16/(1+2^(-'⚙ Parámetros'!F16*(M33-'⚙ Parámetros'!E16))),1)*M33)/(35/100*MAX('⚙ Parámetros'!D16/(1+2^(-'⚙ Parámetros'!C16*(J33-'⚙ Parámetros'!B16))),'⚙ Parámetros'!G16/(1+2^(-'⚙ Parámetros'!F16*(J33-'⚙ Parámetros'!E16))),1)+25/100*MAX('⚙ Parámetros'!D16/(1+2^(-'⚙ Parámetros'!C16*(K33-'⚙ Parámetros'!B16))),'⚙ Parámetros'!G16/(1+2^(-'⚙ Parámetros'!F16*(K33-'⚙ Parámetros'!E16))),1)+20/100*MAX('⚙ Parámetros'!D16/(1+2^(-'⚙ Parámetros'!C16*(L33-'⚙ Parámetros'!B16))),'⚙ Parámetros'!G16/(1+2^(-'⚙ Parámetros'!F16*(L33-'⚙ Parámetros'!E16))),1)+20/100*MAX('⚙ Parámetros'!D16/(1+2^(-'⚙ Parámetros'!C16*(M33-'⚙ Parámetros'!B16))),'⚙ Parámetros'!G16/(1+2^(-'⚙ Parámetros'!F16*(M33-'⚙ Parámetros'!E16))),1)),0)</f>
        <v>4.9411764705882355</v>
      </c>
      <c r="AD33" s="80">
        <f>IFERROR((30/100*MAX('⚙ Parámetros'!D17/(1+2^(-'⚙ Parámetros'!C17*(N33-'⚙ Parámetros'!B17))),'⚙ Parámetros'!G17/(1+2^(-'⚙ Parámetros'!F17*(N33-'⚙ Parámetros'!E17))),1)*N33+25/100*MAX('⚙ Parámetros'!D17/(1+2^(-'⚙ Parámetros'!C17*(O33-'⚙ Parámetros'!B17))),'⚙ Parámetros'!G17/(1+2^(-'⚙ Parámetros'!F17*(O33-'⚙ Parámetros'!E17))),1)*O33+25/100*MAX('⚙ Parámetros'!D17/(1+2^(-'⚙ Parámetros'!C17*(P33-'⚙ Parámetros'!B17))),'⚙ Parámetros'!G17/(1+2^(-'⚙ Parámetros'!F17*(P33-'⚙ Parámetros'!E17))),1)*P33+20/100*MAX('⚙ Parámetros'!D17/(1+2^(-'⚙ Parámetros'!C17*(Q33-'⚙ Parámetros'!B17))),'⚙ Parámetros'!G17/(1+2^(-'⚙ Parámetros'!F17*(Q33-'⚙ Parámetros'!E17))),1)*Q33)/(30/100*MAX('⚙ Parámetros'!D17/(1+2^(-'⚙ Parámetros'!C17*(N33-'⚙ Parámetros'!B17))),'⚙ Parámetros'!G17/(1+2^(-'⚙ Parámetros'!F17*(N33-'⚙ Parámetros'!E17))),1)+25/100*MAX('⚙ Parámetros'!D17/(1+2^(-'⚙ Parámetros'!C17*(O33-'⚙ Parámetros'!B17))),'⚙ Parámetros'!G17/(1+2^(-'⚙ Parámetros'!F17*(O33-'⚙ Parámetros'!E17))),1)+25/100*MAX('⚙ Parámetros'!D17/(1+2^(-'⚙ Parámetros'!C17*(P33-'⚙ Parámetros'!B17))),'⚙ Parámetros'!G17/(1+2^(-'⚙ Parámetros'!F17*(P33-'⚙ Parámetros'!E17))),1)+20/100*MAX('⚙ Parámetros'!D17/(1+2^(-'⚙ Parámetros'!C17*(Q33-'⚙ Parámetros'!B17))),'⚙ Parámetros'!G17/(1+2^(-'⚙ Parámetros'!F17*(Q33-'⚙ Parámetros'!E17))),1)),0)</f>
        <v>4.2</v>
      </c>
      <c r="AE33" s="80">
        <f>IFERROR((30/100*MAX('⚙ Parámetros'!D18/(1+2^(-'⚙ Parámetros'!C18*(R33-'⚙ Parámetros'!B18))),'⚙ Parámetros'!G18/(1+2^(-'⚙ Parámetros'!F18*(R33-'⚙ Parámetros'!E18))),1)*R33+30/100*MAX('⚙ Parámetros'!D18/(1+2^(-'⚙ Parámetros'!C18*(S33-'⚙ Parámetros'!B18))),'⚙ Parámetros'!G18/(1+2^(-'⚙ Parámetros'!F18*(S33-'⚙ Parámetros'!E18))),1)*S33+20/100*MAX('⚙ Parámetros'!D18/(1+2^(-'⚙ Parámetros'!C18*(T33-'⚙ Parámetros'!B18))),'⚙ Parámetros'!G18/(1+2^(-'⚙ Parámetros'!F18*(T33-'⚙ Parámetros'!E18))),1)*T33+20/100*MAX('⚙ Parámetros'!D18/(1+2^(-'⚙ Parámetros'!C18*(U33-'⚙ Parámetros'!B18))),'⚙ Parámetros'!G18/(1+2^(-'⚙ Parámetros'!F18*(U33-'⚙ Parámetros'!E18))),1)*U33)/(30/100*MAX('⚙ Parámetros'!D18/(1+2^(-'⚙ Parámetros'!C18*(R33-'⚙ Parámetros'!B18))),'⚙ Parámetros'!G18/(1+2^(-'⚙ Parámetros'!F18*(R33-'⚙ Parámetros'!E18))),1)+30/100*MAX('⚙ Parámetros'!D18/(1+2^(-'⚙ Parámetros'!C18*(S33-'⚙ Parámetros'!B18))),'⚙ Parámetros'!G18/(1+2^(-'⚙ Parámetros'!F18*(S33-'⚙ Parámetros'!E18))),1)+20/100*MAX('⚙ Parámetros'!D18/(1+2^(-'⚙ Parámetros'!C18*(T33-'⚙ Parámetros'!B18))),'⚙ Parámetros'!G18/(1+2^(-'⚙ Parámetros'!F18*(T33-'⚙ Parámetros'!E18))),1)+20/100*MAX('⚙ Parámetros'!D18/(1+2^(-'⚙ Parámetros'!C18*(U33-'⚙ Parámetros'!B18))),'⚙ Parámetros'!G18/(1+2^(-'⚙ Parámetros'!F18*(U33-'⚙ Parámetros'!E18))),1)),0)</f>
        <v>8.1801060365339655</v>
      </c>
      <c r="AF33" s="80">
        <f>IFERROR((30/100*MAX('⚙ Parámetros'!D19/(1+2^(-'⚙ Parámetros'!C19*(V33-'⚙ Parámetros'!B19))),'⚙ Parámetros'!G19/(1+2^(-'⚙ Parámetros'!F19*(V33-'⚙ Parámetros'!E19))),1)*V33+35/100*MAX('⚙ Parámetros'!D19/(1+2^(-'⚙ Parámetros'!C19*(W33-'⚙ Parámetros'!B19))),'⚙ Parámetros'!G19/(1+2^(-'⚙ Parámetros'!F19*(W33-'⚙ Parámetros'!E19))),1)*W33+35/100*MAX('⚙ Parámetros'!D19/(1+2^(-'⚙ Parámetros'!C19*(X33-'⚙ Parámetros'!B19))),'⚙ Parámetros'!G19/(1+2^(-'⚙ Parámetros'!F19*(X33-'⚙ Parámetros'!E19))),1)*X33)/(30/100*MAX('⚙ Parámetros'!D19/(1+2^(-'⚙ Parámetros'!C19*(V33-'⚙ Parámetros'!B19))),'⚙ Parámetros'!G19/(1+2^(-'⚙ Parámetros'!F19*(V33-'⚙ Parámetros'!E19))),1)+35/100*MAX('⚙ Parámetros'!D19/(1+2^(-'⚙ Parámetros'!C19*(W33-'⚙ Parámetros'!B19))),'⚙ Parámetros'!G19/(1+2^(-'⚙ Parámetros'!F19*(W33-'⚙ Parámetros'!E19))),1)+35/100*MAX('⚙ Parámetros'!D19/(1+2^(-'⚙ Parámetros'!C19*(X33-'⚙ Parámetros'!B19))),'⚙ Parámetros'!G19/(1+2^(-'⚙ Parámetros'!F19*(X33-'⚙ Parámetros'!E19))),1)),0)</f>
        <v>8.0351483057098907</v>
      </c>
      <c r="AG33" s="80">
        <f>IFERROR((35/100*MAX('⚙ Parámetros'!D20/(1+2^(-'⚙ Parámetros'!C20*(Y33-'⚙ Parámetros'!B20))),'⚙ Parámetros'!G20/(1+2^(-'⚙ Parámetros'!F20*(Y33-'⚙ Parámetros'!E20))),1)*Y33+35/100*MAX('⚙ Parámetros'!D20/(1+2^(-'⚙ Parámetros'!C20*(Z33-'⚙ Parámetros'!B20))),'⚙ Parámetros'!G20/(1+2^(-'⚙ Parámetros'!F20*(Z33-'⚙ Parámetros'!E20))),1)*Z33+30/100*MAX('⚙ Parámetros'!D20/(1+2^(-'⚙ Parámetros'!C20*(AA33-'⚙ Parámetros'!B20))),'⚙ Parámetros'!G20/(1+2^(-'⚙ Parámetros'!F20*(AA33-'⚙ Parámetros'!E20))),1)*AA33)/(35/100*MAX('⚙ Parámetros'!D20/(1+2^(-'⚙ Parámetros'!C20*(Y33-'⚙ Parámetros'!B20))),'⚙ Parámetros'!G20/(1+2^(-'⚙ Parámetros'!F20*(Y33-'⚙ Parámetros'!E20))),1)+35/100*MAX('⚙ Parámetros'!D20/(1+2^(-'⚙ Parámetros'!C20*(Z33-'⚙ Parámetros'!B20))),'⚙ Parámetros'!G20/(1+2^(-'⚙ Parámetros'!F20*(Z33-'⚙ Parámetros'!E20))),1)+30/100*MAX('⚙ Parámetros'!D20/(1+2^(-'⚙ Parámetros'!C20*(AA33-'⚙ Parámetros'!B20))),'⚙ Parámetros'!G20/(1+2^(-'⚙ Parámetros'!F20*(AA33-'⚙ Parámetros'!E20))),1)),0)</f>
        <v>3.7272727272727275</v>
      </c>
      <c r="AH33" s="81">
        <f>('⚙ Parámetros'!B5/100*AB33+'⚙ Parámetros'!B6/100*AC33+'⚙ Parámetros'!B7/100*AD33+'⚙ Parámetros'!B8/100*AE33+'⚙ Parámetros'!B9/100*AF33+'⚙ Parámetros'!B10/100*AG33)</f>
        <v>5.3969105209130666</v>
      </c>
      <c r="AI33" s="33">
        <f ca="1">MIN(1+MAX(0,TODAY()-DATE(2026,3,10))/365*'⚙ Parámetros'!B33,'⚙ Parámetros'!B34)</f>
        <v>1.0386301369863014</v>
      </c>
      <c r="AJ33" s="82">
        <f t="shared" ca="1" si="0"/>
        <v>5.6053939136387489</v>
      </c>
      <c r="AK33" s="83" t="str">
        <f ca="1">IF(AB33&gt;='⚙ Parámetros'!B23,"⚑ AUTO-PRIOR.(D1≥8)",IF(AJ33&gt;='⚙ Parámetros'!B23,"PRIORITARIO",IF(AJ33&gt;='⚙ Parámetros'!B24,"ALTA PRIORIDAD",IF(AJ33&gt;='⚙ Parámetros'!B25,"PRIORIDAD MEDIA",IF(AJ33&gt;='⚙ Parámetros'!B26,"BAJA PRIORIDAD","DESCARTAR")))))</f>
        <v>PRIORIDAD MEDIA</v>
      </c>
      <c r="AL33" s="84" t="str">
        <f t="shared" si="1"/>
        <v>—</v>
      </c>
      <c r="AM33" s="85">
        <v>10</v>
      </c>
      <c r="AN33" s="83" t="str">
        <f>IF(AM33="","—",IF(AM33&lt;'⚙ Parámetros'!B29,"🟢 Corto",IF(AM33&lt;'⚙ Parámetros'!B30,"🟡 Medio","🔴 Largo")))</f>
        <v>🟢 Corto</v>
      </c>
    </row>
    <row r="34" spans="1:40" ht="18.75" customHeight="1" x14ac:dyDescent="0.25">
      <c r="A34" s="69">
        <v>30</v>
      </c>
      <c r="B34" s="30" t="s">
        <v>198</v>
      </c>
      <c r="C34" s="26" t="s">
        <v>147</v>
      </c>
      <c r="D34" s="71" t="s">
        <v>199</v>
      </c>
      <c r="E34" s="72" t="s">
        <v>161</v>
      </c>
      <c r="F34" s="74">
        <v>1</v>
      </c>
      <c r="G34" s="74">
        <v>1</v>
      </c>
      <c r="H34" s="86">
        <v>5</v>
      </c>
      <c r="I34" s="74">
        <v>1</v>
      </c>
      <c r="J34" s="75">
        <v>10</v>
      </c>
      <c r="K34" s="75">
        <v>9</v>
      </c>
      <c r="L34" s="75">
        <v>8</v>
      </c>
      <c r="M34" s="75">
        <v>9</v>
      </c>
      <c r="N34" s="87">
        <v>8</v>
      </c>
      <c r="O34" s="74">
        <v>1</v>
      </c>
      <c r="P34" s="86">
        <v>7</v>
      </c>
      <c r="Q34" s="86">
        <v>6</v>
      </c>
      <c r="R34" s="86">
        <v>5</v>
      </c>
      <c r="S34" s="86">
        <v>5</v>
      </c>
      <c r="T34" s="86">
        <v>5</v>
      </c>
      <c r="U34" s="86">
        <v>5</v>
      </c>
      <c r="V34" s="86">
        <v>7</v>
      </c>
      <c r="W34" s="86">
        <v>6</v>
      </c>
      <c r="X34" s="86">
        <v>5</v>
      </c>
      <c r="Y34" s="86">
        <v>5</v>
      </c>
      <c r="Z34" s="74">
        <v>2</v>
      </c>
      <c r="AA34" s="93">
        <v>5</v>
      </c>
      <c r="AB34" s="89">
        <f>IFERROR((30/100*MAX('⚙ Parámetros'!D15/(1+2^(-'⚙ Parámetros'!C15*(F34-'⚙ Parámetros'!B15))),'⚙ Parámetros'!G15/(1+2^(-'⚙ Parámetros'!F15*(F34-'⚙ Parámetros'!E15))),1)*F34+30/100*MAX('⚙ Parámetros'!D15/(1+2^(-'⚙ Parámetros'!C15*(G34-'⚙ Parámetros'!B15))),'⚙ Parámetros'!G15/(1+2^(-'⚙ Parámetros'!F15*(G34-'⚙ Parámetros'!E15))),1)*G34+20/100*MAX('⚙ Parámetros'!D15/(1+2^(-'⚙ Parámetros'!C15*(H34-'⚙ Parámetros'!B15))),'⚙ Parámetros'!G15/(1+2^(-'⚙ Parámetros'!F15*(H34-'⚙ Parámetros'!E15))),1)*H34+20/100*MAX('⚙ Parámetros'!D15/(1+2^(-'⚙ Parámetros'!C15*(I34-'⚙ Parámetros'!B15))),'⚙ Parámetros'!G15/(1+2^(-'⚙ Parámetros'!F15*(I34-'⚙ Parámetros'!E15))),1)*I34)/(30/100*MAX('⚙ Parámetros'!D15/(1+2^(-'⚙ Parámetros'!C15*(F34-'⚙ Parámetros'!B15))),'⚙ Parámetros'!G15/(1+2^(-'⚙ Parámetros'!F15*(F34-'⚙ Parámetros'!E15))),1)+30/100*MAX('⚙ Parámetros'!D15/(1+2^(-'⚙ Parámetros'!C15*(G34-'⚙ Parámetros'!B15))),'⚙ Parámetros'!G15/(1+2^(-'⚙ Parámetros'!F15*(G34-'⚙ Parámetros'!E15))),1)+20/100*MAX('⚙ Parámetros'!D15/(1+2^(-'⚙ Parámetros'!C15*(H34-'⚙ Parámetros'!B15))),'⚙ Parámetros'!G15/(1+2^(-'⚙ Parámetros'!F15*(H34-'⚙ Parámetros'!E15))),1)+20/100*MAX('⚙ Parámetros'!D15/(1+2^(-'⚙ Parámetros'!C15*(I34-'⚙ Parámetros'!B15))),'⚙ Parámetros'!G15/(1+2^(-'⚙ Parámetros'!F15*(I34-'⚙ Parámetros'!E15))),1)),0)</f>
        <v>2.1428571428571428</v>
      </c>
      <c r="AC34" s="89">
        <f>IFERROR((35/100*MAX('⚙ Parámetros'!D16/(1+2^(-'⚙ Parámetros'!C16*(J34-'⚙ Parámetros'!B16))),'⚙ Parámetros'!G16/(1+2^(-'⚙ Parámetros'!F16*(J34-'⚙ Parámetros'!E16))),1)*J34+25/100*MAX('⚙ Parámetros'!D16/(1+2^(-'⚙ Parámetros'!C16*(K34-'⚙ Parámetros'!B16))),'⚙ Parámetros'!G16/(1+2^(-'⚙ Parámetros'!F16*(K34-'⚙ Parámetros'!E16))),1)*K34+20/100*MAX('⚙ Parámetros'!D16/(1+2^(-'⚙ Parámetros'!C16*(L34-'⚙ Parámetros'!B16))),'⚙ Parámetros'!G16/(1+2^(-'⚙ Parámetros'!F16*(L34-'⚙ Parámetros'!E16))),1)*L34+20/100*MAX('⚙ Parámetros'!D16/(1+2^(-'⚙ Parámetros'!C16*(M34-'⚙ Parámetros'!B16))),'⚙ Parámetros'!G16/(1+2^(-'⚙ Parámetros'!F16*(M34-'⚙ Parámetros'!E16))),1)*M34)/(35/100*MAX('⚙ Parámetros'!D16/(1+2^(-'⚙ Parámetros'!C16*(J34-'⚙ Parámetros'!B16))),'⚙ Parámetros'!G16/(1+2^(-'⚙ Parámetros'!F16*(J34-'⚙ Parámetros'!E16))),1)+25/100*MAX('⚙ Parámetros'!D16/(1+2^(-'⚙ Parámetros'!C16*(K34-'⚙ Parámetros'!B16))),'⚙ Parámetros'!G16/(1+2^(-'⚙ Parámetros'!F16*(K34-'⚙ Parámetros'!E16))),1)+20/100*MAX('⚙ Parámetros'!D16/(1+2^(-'⚙ Parámetros'!C16*(L34-'⚙ Parámetros'!B16))),'⚙ Parámetros'!G16/(1+2^(-'⚙ Parámetros'!F16*(L34-'⚙ Parámetros'!E16))),1)+20/100*MAX('⚙ Parámetros'!D16/(1+2^(-'⚙ Parámetros'!C16*(M34-'⚙ Parámetros'!B16))),'⚙ Parámetros'!G16/(1+2^(-'⚙ Parámetros'!F16*(M34-'⚙ Parámetros'!E16))),1)),0)</f>
        <v>9.2906110283159453</v>
      </c>
      <c r="AD34" s="89">
        <f>IFERROR((30/100*MAX('⚙ Parámetros'!D17/(1+2^(-'⚙ Parámetros'!C17*(N34-'⚙ Parámetros'!B17))),'⚙ Parámetros'!G17/(1+2^(-'⚙ Parámetros'!F17*(N34-'⚙ Parámetros'!E17))),1)*N34+25/100*MAX('⚙ Parámetros'!D17/(1+2^(-'⚙ Parámetros'!C17*(O34-'⚙ Parámetros'!B17))),'⚙ Parámetros'!G17/(1+2^(-'⚙ Parámetros'!F17*(O34-'⚙ Parámetros'!E17))),1)*O34+25/100*MAX('⚙ Parámetros'!D17/(1+2^(-'⚙ Parámetros'!C17*(P34-'⚙ Parámetros'!B17))),'⚙ Parámetros'!G17/(1+2^(-'⚙ Parámetros'!F17*(P34-'⚙ Parámetros'!E17))),1)*P34+20/100*MAX('⚙ Parámetros'!D17/(1+2^(-'⚙ Parámetros'!C17*(Q34-'⚙ Parámetros'!B17))),'⚙ Parámetros'!G17/(1+2^(-'⚙ Parámetros'!F17*(Q34-'⚙ Parámetros'!E17))),1)*Q34)/(30/100*MAX('⚙ Parámetros'!D17/(1+2^(-'⚙ Parámetros'!C17*(N34-'⚙ Parámetros'!B17))),'⚙ Parámetros'!G17/(1+2^(-'⚙ Parámetros'!F17*(N34-'⚙ Parámetros'!E17))),1)+25/100*MAX('⚙ Parámetros'!D17/(1+2^(-'⚙ Parámetros'!C17*(O34-'⚙ Parámetros'!B17))),'⚙ Parámetros'!G17/(1+2^(-'⚙ Parámetros'!F17*(O34-'⚙ Parámetros'!E17))),1)+25/100*MAX('⚙ Parámetros'!D17/(1+2^(-'⚙ Parámetros'!C17*(P34-'⚙ Parámetros'!B17))),'⚙ Parámetros'!G17/(1+2^(-'⚙ Parámetros'!F17*(P34-'⚙ Parámetros'!E17))),1)+20/100*MAX('⚙ Parámetros'!D17/(1+2^(-'⚙ Parámetros'!C17*(Q34-'⚙ Parámetros'!B17))),'⚙ Parámetros'!G17/(1+2^(-'⚙ Parámetros'!F17*(Q34-'⚙ Parámetros'!E17))),1)),0)</f>
        <v>6.6996148908857505</v>
      </c>
      <c r="AE34" s="89">
        <f>IFERROR((30/100*MAX('⚙ Parámetros'!D18/(1+2^(-'⚙ Parámetros'!C18*(R34-'⚙ Parámetros'!B18))),'⚙ Parámetros'!G18/(1+2^(-'⚙ Parámetros'!F18*(R34-'⚙ Parámetros'!E18))),1)*R34+30/100*MAX('⚙ Parámetros'!D18/(1+2^(-'⚙ Parámetros'!C18*(S34-'⚙ Parámetros'!B18))),'⚙ Parámetros'!G18/(1+2^(-'⚙ Parámetros'!F18*(S34-'⚙ Parámetros'!E18))),1)*S34+20/100*MAX('⚙ Parámetros'!D18/(1+2^(-'⚙ Parámetros'!C18*(T34-'⚙ Parámetros'!B18))),'⚙ Parámetros'!G18/(1+2^(-'⚙ Parámetros'!F18*(T34-'⚙ Parámetros'!E18))),1)*T34+20/100*MAX('⚙ Parámetros'!D18/(1+2^(-'⚙ Parámetros'!C18*(U34-'⚙ Parámetros'!B18))),'⚙ Parámetros'!G18/(1+2^(-'⚙ Parámetros'!F18*(U34-'⚙ Parámetros'!E18))),1)*U34)/(30/100*MAX('⚙ Parámetros'!D18/(1+2^(-'⚙ Parámetros'!C18*(R34-'⚙ Parámetros'!B18))),'⚙ Parámetros'!G18/(1+2^(-'⚙ Parámetros'!F18*(R34-'⚙ Parámetros'!E18))),1)+30/100*MAX('⚙ Parámetros'!D18/(1+2^(-'⚙ Parámetros'!C18*(S34-'⚙ Parámetros'!B18))),'⚙ Parámetros'!G18/(1+2^(-'⚙ Parámetros'!F18*(S34-'⚙ Parámetros'!E18))),1)+20/100*MAX('⚙ Parámetros'!D18/(1+2^(-'⚙ Parámetros'!C18*(T34-'⚙ Parámetros'!B18))),'⚙ Parámetros'!G18/(1+2^(-'⚙ Parámetros'!F18*(T34-'⚙ Parámetros'!E18))),1)+20/100*MAX('⚙ Parámetros'!D18/(1+2^(-'⚙ Parámetros'!C18*(U34-'⚙ Parámetros'!B18))),'⚙ Parámetros'!G18/(1+2^(-'⚙ Parámetros'!F18*(U34-'⚙ Parámetros'!E18))),1)),0)</f>
        <v>5</v>
      </c>
      <c r="AF34" s="89">
        <f>IFERROR((30/100*MAX('⚙ Parámetros'!D19/(1+2^(-'⚙ Parámetros'!C19*(V34-'⚙ Parámetros'!B19))),'⚙ Parámetros'!G19/(1+2^(-'⚙ Parámetros'!F19*(V34-'⚙ Parámetros'!E19))),1)*V34+35/100*MAX('⚙ Parámetros'!D19/(1+2^(-'⚙ Parámetros'!C19*(W34-'⚙ Parámetros'!B19))),'⚙ Parámetros'!G19/(1+2^(-'⚙ Parámetros'!F19*(W34-'⚙ Parámetros'!E19))),1)*W34+35/100*MAX('⚙ Parámetros'!D19/(1+2^(-'⚙ Parámetros'!C19*(X34-'⚙ Parámetros'!B19))),'⚙ Parámetros'!G19/(1+2^(-'⚙ Parámetros'!F19*(X34-'⚙ Parámetros'!E19))),1)*X34)/(30/100*MAX('⚙ Parámetros'!D19/(1+2^(-'⚙ Parámetros'!C19*(V34-'⚙ Parámetros'!B19))),'⚙ Parámetros'!G19/(1+2^(-'⚙ Parámetros'!F19*(V34-'⚙ Parámetros'!E19))),1)+35/100*MAX('⚙ Parámetros'!D19/(1+2^(-'⚙ Parámetros'!C19*(W34-'⚙ Parámetros'!B19))),'⚙ Parámetros'!G19/(1+2^(-'⚙ Parámetros'!F19*(W34-'⚙ Parámetros'!E19))),1)+35/100*MAX('⚙ Parámetros'!D19/(1+2^(-'⚙ Parámetros'!C19*(X34-'⚙ Parámetros'!B19))),'⚙ Parámetros'!G19/(1+2^(-'⚙ Parámetros'!F19*(X34-'⚙ Parámetros'!E19))),1)),0)</f>
        <v>6.0427350427350435</v>
      </c>
      <c r="AG34" s="89">
        <f>IFERROR((35/100*MAX('⚙ Parámetros'!D20/(1+2^(-'⚙ Parámetros'!C20*(Y34-'⚙ Parámetros'!B20))),'⚙ Parámetros'!G20/(1+2^(-'⚙ Parámetros'!F20*(Y34-'⚙ Parámetros'!E20))),1)*Y34+35/100*MAX('⚙ Parámetros'!D20/(1+2^(-'⚙ Parámetros'!C20*(Z34-'⚙ Parámetros'!B20))),'⚙ Parámetros'!G20/(1+2^(-'⚙ Parámetros'!F20*(Z34-'⚙ Parámetros'!E20))),1)*Z34+30/100*MAX('⚙ Parámetros'!D20/(1+2^(-'⚙ Parámetros'!C20*(AA34-'⚙ Parámetros'!B20))),'⚙ Parámetros'!G20/(1+2^(-'⚙ Parámetros'!F20*(AA34-'⚙ Parámetros'!E20))),1)*AA34)/(35/100*MAX('⚙ Parámetros'!D20/(1+2^(-'⚙ Parámetros'!C20*(Y34-'⚙ Parámetros'!B20))),'⚙ Parámetros'!G20/(1+2^(-'⚙ Parámetros'!F20*(Y34-'⚙ Parámetros'!E20))),1)+35/100*MAX('⚙ Parámetros'!D20/(1+2^(-'⚙ Parámetros'!C20*(Z34-'⚙ Parámetros'!B20))),'⚙ Parámetros'!G20/(1+2^(-'⚙ Parámetros'!F20*(Z34-'⚙ Parámetros'!E20))),1)+30/100*MAX('⚙ Parámetros'!D20/(1+2^(-'⚙ Parámetros'!C20*(AA34-'⚙ Parámetros'!B20))),'⚙ Parámetros'!G20/(1+2^(-'⚙ Parámetros'!F20*(AA34-'⚙ Parámetros'!E20))),1)),0)</f>
        <v>4.1369863013698636</v>
      </c>
      <c r="AH34" s="90">
        <f>('⚙ Parámetros'!B5/100*AB34+'⚙ Parámetros'!B6/100*AC34+'⚙ Parámetros'!B7/100*AD34+'⚙ Parámetros'!B8/100*AE34+'⚙ Parámetros'!B9/100*AF34+'⚙ Parámetros'!B10/100*AG34)</f>
        <v>5.3761347350805755</v>
      </c>
      <c r="AI34" s="91">
        <f ca="1">MIN(1+MAX(0,TODAY()-DATE(2025,7,15))/365*'⚙ Parámetros'!B33,'⚙ Parámetros'!B34)</f>
        <v>1.1364383561643836</v>
      </c>
      <c r="AJ34" s="82">
        <f t="shared" ca="1" si="0"/>
        <v>6.1096457208532131</v>
      </c>
      <c r="AK34" s="92" t="str">
        <f ca="1">IF(AB34&gt;='⚙ Parámetros'!B23,"⚑ AUTO-PRIOR.(D1≥8)",IF(AJ34&gt;='⚙ Parámetros'!B23,"PRIORITARIO",IF(AJ34&gt;='⚙ Parámetros'!B24,"ALTA PRIORIDAD",IF(AJ34&gt;='⚙ Parámetros'!B25,"PRIORIDAD MEDIA",IF(AJ34&gt;='⚙ Parámetros'!B26,"BAJA PRIORIDAD","DESCARTAR")))))</f>
        <v>PRIORIDAD MEDIA</v>
      </c>
      <c r="AL34" s="69" t="str">
        <f t="shared" si="1"/>
        <v>—</v>
      </c>
      <c r="AM34" s="85">
        <v>63</v>
      </c>
      <c r="AN34" s="83" t="str">
        <f>IF(AM34="","—",IF(AM34&lt;'⚙ Parámetros'!B29,"🟢 Corto",IF(AM34&lt;'⚙ Parámetros'!B30,"🟡 Medio","🔴 Largo")))</f>
        <v>🟡 Medio</v>
      </c>
    </row>
    <row r="35" spans="1:40" ht="18.75" customHeight="1" x14ac:dyDescent="0.25">
      <c r="A35" s="69">
        <v>31</v>
      </c>
      <c r="B35" s="70" t="s">
        <v>200</v>
      </c>
      <c r="C35" s="4" t="s">
        <v>142</v>
      </c>
      <c r="D35" s="71" t="s">
        <v>136</v>
      </c>
      <c r="E35" s="72" t="s">
        <v>201</v>
      </c>
      <c r="F35" s="73">
        <v>6</v>
      </c>
      <c r="G35" s="74">
        <v>9</v>
      </c>
      <c r="H35" s="74">
        <v>1</v>
      </c>
      <c r="I35" s="73">
        <v>5</v>
      </c>
      <c r="J35" s="74">
        <v>1</v>
      </c>
      <c r="K35" s="74">
        <v>1</v>
      </c>
      <c r="L35" s="74">
        <v>1</v>
      </c>
      <c r="M35" s="73">
        <v>3</v>
      </c>
      <c r="N35" s="73">
        <v>7</v>
      </c>
      <c r="O35" s="73">
        <v>6</v>
      </c>
      <c r="P35" s="74">
        <v>1</v>
      </c>
      <c r="Q35" s="87">
        <v>8</v>
      </c>
      <c r="R35" s="73">
        <v>6</v>
      </c>
      <c r="S35" s="73">
        <v>6</v>
      </c>
      <c r="T35" s="73">
        <v>5</v>
      </c>
      <c r="U35" s="73">
        <v>5</v>
      </c>
      <c r="V35" s="73">
        <v>5</v>
      </c>
      <c r="W35" s="73">
        <v>4</v>
      </c>
      <c r="X35" s="73">
        <v>5</v>
      </c>
      <c r="Y35" s="73">
        <v>4</v>
      </c>
      <c r="Z35" s="74">
        <v>2</v>
      </c>
      <c r="AA35" s="73">
        <v>5</v>
      </c>
      <c r="AB35" s="80">
        <f>IFERROR((30/100*MAX('⚙ Parámetros'!D15/(1+2^(-'⚙ Parámetros'!C15*(F35-'⚙ Parámetros'!B15))),'⚙ Parámetros'!G15/(1+2^(-'⚙ Parámetros'!F15*(F35-'⚙ Parámetros'!E15))),1)*F35+30/100*MAX('⚙ Parámetros'!D15/(1+2^(-'⚙ Parámetros'!C15*(G35-'⚙ Parámetros'!B15))),'⚙ Parámetros'!G15/(1+2^(-'⚙ Parámetros'!F15*(G35-'⚙ Parámetros'!E15))),1)*G35+20/100*MAX('⚙ Parámetros'!D15/(1+2^(-'⚙ Parámetros'!C15*(H35-'⚙ Parámetros'!B15))),'⚙ Parámetros'!G15/(1+2^(-'⚙ Parámetros'!F15*(H35-'⚙ Parámetros'!E15))),1)*H35+20/100*MAX('⚙ Parámetros'!D15/(1+2^(-'⚙ Parámetros'!C15*(I35-'⚙ Parámetros'!B15))),'⚙ Parámetros'!G15/(1+2^(-'⚙ Parámetros'!F15*(I35-'⚙ Parámetros'!E15))),1)*I35)/(30/100*MAX('⚙ Parámetros'!D15/(1+2^(-'⚙ Parámetros'!C15*(F35-'⚙ Parámetros'!B15))),'⚙ Parámetros'!G15/(1+2^(-'⚙ Parámetros'!F15*(F35-'⚙ Parámetros'!E15))),1)+30/100*MAX('⚙ Parámetros'!D15/(1+2^(-'⚙ Parámetros'!C15*(G35-'⚙ Parámetros'!B15))),'⚙ Parámetros'!G15/(1+2^(-'⚙ Parámetros'!F15*(G35-'⚙ Parámetros'!E15))),1)+20/100*MAX('⚙ Parámetros'!D15/(1+2^(-'⚙ Parámetros'!C15*(H35-'⚙ Parámetros'!B15))),'⚙ Parámetros'!G15/(1+2^(-'⚙ Parámetros'!F15*(H35-'⚙ Parámetros'!E15))),1)+20/100*MAX('⚙ Parámetros'!D15/(1+2^(-'⚙ Parámetros'!C15*(I35-'⚙ Parámetros'!B15))),'⚙ Parámetros'!G15/(1+2^(-'⚙ Parámetros'!F15*(I35-'⚙ Parámetros'!E15))),1)),0)</f>
        <v>7.7504083632799734</v>
      </c>
      <c r="AC35" s="80">
        <f>IFERROR((35/100*MAX('⚙ Parámetros'!D16/(1+2^(-'⚙ Parámetros'!C16*(J35-'⚙ Parámetros'!B16))),'⚙ Parámetros'!G16/(1+2^(-'⚙ Parámetros'!F16*(J35-'⚙ Parámetros'!E16))),1)*J35+25/100*MAX('⚙ Parámetros'!D16/(1+2^(-'⚙ Parámetros'!C16*(K35-'⚙ Parámetros'!B16))),'⚙ Parámetros'!G16/(1+2^(-'⚙ Parámetros'!F16*(K35-'⚙ Parámetros'!E16))),1)*K35+20/100*MAX('⚙ Parámetros'!D16/(1+2^(-'⚙ Parámetros'!C16*(L35-'⚙ Parámetros'!B16))),'⚙ Parámetros'!G16/(1+2^(-'⚙ Parámetros'!F16*(L35-'⚙ Parámetros'!E16))),1)*L35+20/100*MAX('⚙ Parámetros'!D16/(1+2^(-'⚙ Parámetros'!C16*(M35-'⚙ Parámetros'!B16))),'⚙ Parámetros'!G16/(1+2^(-'⚙ Parámetros'!F16*(M35-'⚙ Parámetros'!E16))),1)*M35)/(35/100*MAX('⚙ Parámetros'!D16/(1+2^(-'⚙ Parámetros'!C16*(J35-'⚙ Parámetros'!B16))),'⚙ Parámetros'!G16/(1+2^(-'⚙ Parámetros'!F16*(J35-'⚙ Parámetros'!E16))),1)+25/100*MAX('⚙ Parámetros'!D16/(1+2^(-'⚙ Parámetros'!C16*(K35-'⚙ Parámetros'!B16))),'⚙ Parámetros'!G16/(1+2^(-'⚙ Parámetros'!F16*(K35-'⚙ Parámetros'!E16))),1)+20/100*MAX('⚙ Parámetros'!D16/(1+2^(-'⚙ Parámetros'!C16*(L35-'⚙ Parámetros'!B16))),'⚙ Parámetros'!G16/(1+2^(-'⚙ Parámetros'!F16*(L35-'⚙ Parámetros'!E16))),1)+20/100*MAX('⚙ Parámetros'!D16/(1+2^(-'⚙ Parámetros'!C16*(M35-'⚙ Parámetros'!B16))),'⚙ Parámetros'!G16/(1+2^(-'⚙ Parámetros'!F16*(M35-'⚙ Parámetros'!E16))),1)),0)</f>
        <v>1.4000000000000001</v>
      </c>
      <c r="AD35" s="80">
        <f>IFERROR((30/100*MAX('⚙ Parámetros'!D17/(1+2^(-'⚙ Parámetros'!C17*(N35-'⚙ Parámetros'!B17))),'⚙ Parámetros'!G17/(1+2^(-'⚙ Parámetros'!F17*(N35-'⚙ Parámetros'!E17))),1)*N35+25/100*MAX('⚙ Parámetros'!D17/(1+2^(-'⚙ Parámetros'!C17*(O35-'⚙ Parámetros'!B17))),'⚙ Parámetros'!G17/(1+2^(-'⚙ Parámetros'!F17*(O35-'⚙ Parámetros'!E17))),1)*O35+25/100*MAX('⚙ Parámetros'!D17/(1+2^(-'⚙ Parámetros'!C17*(P35-'⚙ Parámetros'!B17))),'⚙ Parámetros'!G17/(1+2^(-'⚙ Parámetros'!F17*(P35-'⚙ Parámetros'!E17))),1)*P35+20/100*MAX('⚙ Parámetros'!D17/(1+2^(-'⚙ Parámetros'!C17*(Q35-'⚙ Parámetros'!B17))),'⚙ Parámetros'!G17/(1+2^(-'⚙ Parámetros'!F17*(Q35-'⚙ Parámetros'!E17))),1)*Q35)/(30/100*MAX('⚙ Parámetros'!D17/(1+2^(-'⚙ Parámetros'!C17*(N35-'⚙ Parámetros'!B17))),'⚙ Parámetros'!G17/(1+2^(-'⚙ Parámetros'!F17*(N35-'⚙ Parámetros'!E17))),1)+25/100*MAX('⚙ Parámetros'!D17/(1+2^(-'⚙ Parámetros'!C17*(O35-'⚙ Parámetros'!B17))),'⚙ Parámetros'!G17/(1+2^(-'⚙ Parámetros'!F17*(O35-'⚙ Parámetros'!E17))),1)+25/100*MAX('⚙ Parámetros'!D17/(1+2^(-'⚙ Parámetros'!C17*(P35-'⚙ Parámetros'!B17))),'⚙ Parámetros'!G17/(1+2^(-'⚙ Parámetros'!F17*(P35-'⚙ Parámetros'!E17))),1)+20/100*MAX('⚙ Parámetros'!D17/(1+2^(-'⚙ Parámetros'!C17*(Q35-'⚙ Parámetros'!B17))),'⚙ Parámetros'!G17/(1+2^(-'⚙ Parámetros'!F17*(Q35-'⚙ Parámetros'!E17))),1)),0)</f>
        <v>6.4693877551020398</v>
      </c>
      <c r="AE35" s="80">
        <f>IFERROR((30/100*MAX('⚙ Parámetros'!D18/(1+2^(-'⚙ Parámetros'!C18*(R35-'⚙ Parámetros'!B18))),'⚙ Parámetros'!G18/(1+2^(-'⚙ Parámetros'!F18*(R35-'⚙ Parámetros'!E18))),1)*R35+30/100*MAX('⚙ Parámetros'!D18/(1+2^(-'⚙ Parámetros'!C18*(S35-'⚙ Parámetros'!B18))),'⚙ Parámetros'!G18/(1+2^(-'⚙ Parámetros'!F18*(S35-'⚙ Parámetros'!E18))),1)*S35+20/100*MAX('⚙ Parámetros'!D18/(1+2^(-'⚙ Parámetros'!C18*(T35-'⚙ Parámetros'!B18))),'⚙ Parámetros'!G18/(1+2^(-'⚙ Parámetros'!F18*(T35-'⚙ Parámetros'!E18))),1)*T35+20/100*MAX('⚙ Parámetros'!D18/(1+2^(-'⚙ Parámetros'!C18*(U35-'⚙ Parámetros'!B18))),'⚙ Parámetros'!G18/(1+2^(-'⚙ Parámetros'!F18*(U35-'⚙ Parámetros'!E18))),1)*U35)/(30/100*MAX('⚙ Parámetros'!D18/(1+2^(-'⚙ Parámetros'!C18*(R35-'⚙ Parámetros'!B18))),'⚙ Parámetros'!G18/(1+2^(-'⚙ Parámetros'!F18*(R35-'⚙ Parámetros'!E18))),1)+30/100*MAX('⚙ Parámetros'!D18/(1+2^(-'⚙ Parámetros'!C18*(S35-'⚙ Parámetros'!B18))),'⚙ Parámetros'!G18/(1+2^(-'⚙ Parámetros'!F18*(S35-'⚙ Parámetros'!E18))),1)+20/100*MAX('⚙ Parámetros'!D18/(1+2^(-'⚙ Parámetros'!C18*(T35-'⚙ Parámetros'!B18))),'⚙ Parámetros'!G18/(1+2^(-'⚙ Parámetros'!F18*(T35-'⚙ Parámetros'!E18))),1)+20/100*MAX('⚙ Parámetros'!D18/(1+2^(-'⚙ Parámetros'!C18*(U35-'⚙ Parámetros'!B18))),'⚙ Parámetros'!G18/(1+2^(-'⚙ Parámetros'!F18*(U35-'⚙ Parámetros'!E18))),1)),0)</f>
        <v>5.6428571428571441</v>
      </c>
      <c r="AF35" s="80">
        <f>IFERROR((30/100*MAX('⚙ Parámetros'!D19/(1+2^(-'⚙ Parámetros'!C19*(V35-'⚙ Parámetros'!B19))),'⚙ Parámetros'!G19/(1+2^(-'⚙ Parámetros'!F19*(V35-'⚙ Parámetros'!E19))),1)*V35+35/100*MAX('⚙ Parámetros'!D19/(1+2^(-'⚙ Parámetros'!C19*(W35-'⚙ Parámetros'!B19))),'⚙ Parámetros'!G19/(1+2^(-'⚙ Parámetros'!F19*(W35-'⚙ Parámetros'!E19))),1)*W35+35/100*MAX('⚙ Parámetros'!D19/(1+2^(-'⚙ Parámetros'!C19*(X35-'⚙ Parámetros'!B19))),'⚙ Parámetros'!G19/(1+2^(-'⚙ Parámetros'!F19*(X35-'⚙ Parámetros'!E19))),1)*X35)/(30/100*MAX('⚙ Parámetros'!D19/(1+2^(-'⚙ Parámetros'!C19*(V35-'⚙ Parámetros'!B19))),'⚙ Parámetros'!G19/(1+2^(-'⚙ Parámetros'!F19*(V35-'⚙ Parámetros'!E19))),1)+35/100*MAX('⚙ Parámetros'!D19/(1+2^(-'⚙ Parámetros'!C19*(W35-'⚙ Parámetros'!B19))),'⚙ Parámetros'!G19/(1+2^(-'⚙ Parámetros'!F19*(W35-'⚙ Parámetros'!E19))),1)+35/100*MAX('⚙ Parámetros'!D19/(1+2^(-'⚙ Parámetros'!C19*(X35-'⚙ Parámetros'!B19))),'⚙ Parámetros'!G19/(1+2^(-'⚙ Parámetros'!F19*(X35-'⚙ Parámetros'!E19))),1)),0)</f>
        <v>4.7123287671232879</v>
      </c>
      <c r="AG35" s="80">
        <f>IFERROR((35/100*MAX('⚙ Parámetros'!D20/(1+2^(-'⚙ Parámetros'!C20*(Y35-'⚙ Parámetros'!B20))),'⚙ Parámetros'!G20/(1+2^(-'⚙ Parámetros'!F20*(Y35-'⚙ Parámetros'!E20))),1)*Y35+35/100*MAX('⚙ Parámetros'!D20/(1+2^(-'⚙ Parámetros'!C20*(Z35-'⚙ Parámetros'!B20))),'⚙ Parámetros'!G20/(1+2^(-'⚙ Parámetros'!F20*(Z35-'⚙ Parámetros'!E20))),1)*Z35+30/100*MAX('⚙ Parámetros'!D20/(1+2^(-'⚙ Parámetros'!C20*(AA35-'⚙ Parámetros'!B20))),'⚙ Parámetros'!G20/(1+2^(-'⚙ Parámetros'!F20*(AA35-'⚙ Parámetros'!E20))),1)*AA35)/(35/100*MAX('⚙ Parámetros'!D20/(1+2^(-'⚙ Parámetros'!C20*(Y35-'⚙ Parámetros'!B20))),'⚙ Parámetros'!G20/(1+2^(-'⚙ Parámetros'!F20*(Y35-'⚙ Parámetros'!E20))),1)+35/100*MAX('⚙ Parámetros'!D20/(1+2^(-'⚙ Parámetros'!C20*(Z35-'⚙ Parámetros'!B20))),'⚙ Parámetros'!G20/(1+2^(-'⚙ Parámetros'!F20*(Z35-'⚙ Parámetros'!E20))),1)+30/100*MAX('⚙ Parámetros'!D20/(1+2^(-'⚙ Parámetros'!C20*(AA35-'⚙ Parámetros'!B20))),'⚙ Parámetros'!G20/(1+2^(-'⚙ Parámetros'!F20*(AA35-'⚙ Parámetros'!E20))),1)),0)</f>
        <v>3.7272727272727275</v>
      </c>
      <c r="AH35" s="81">
        <f>('⚙ Parámetros'!B5/100*AB35+'⚙ Parámetros'!B6/100*AC35+'⚙ Parámetros'!B7/100*AD35+'⚙ Parámetros'!B8/100*AE35+'⚙ Parámetros'!B9/100*AF35+'⚙ Parámetros'!B10/100*AG35)</f>
        <v>5.3455576120414037</v>
      </c>
      <c r="AI35" s="33">
        <f ca="1">MIN(1+MAX(0,TODAY()-DATE(2025,7,1))/365*'⚙ Parámetros'!B33,'⚙ Parámetros'!B34)</f>
        <v>1.1421917808219177</v>
      </c>
      <c r="AJ35" s="82">
        <f t="shared" ca="1" si="0"/>
        <v>6.1056519683837287</v>
      </c>
      <c r="AK35" s="83" t="str">
        <f ca="1">IF(AB35&gt;='⚙ Parámetros'!B23,"⚑ AUTO-PRIOR.(D1≥8)",IF(AJ35&gt;='⚙ Parámetros'!B23,"PRIORITARIO",IF(AJ35&gt;='⚙ Parámetros'!B24,"ALTA PRIORIDAD",IF(AJ35&gt;='⚙ Parámetros'!B25,"PRIORIDAD MEDIA",IF(AJ35&gt;='⚙ Parámetros'!B26,"BAJA PRIORIDAD","DESCARTAR")))))</f>
        <v>PRIORIDAD MEDIA</v>
      </c>
      <c r="AL35" s="84" t="str">
        <f t="shared" si="1"/>
        <v>—</v>
      </c>
      <c r="AM35" s="85">
        <v>192</v>
      </c>
      <c r="AN35" s="83" t="str">
        <f>IF(AM35="","—",IF(AM35&lt;'⚙ Parámetros'!B29,"🟢 Corto",IF(AM35&lt;'⚙ Parámetros'!B30,"🟡 Medio","🔴 Largo")))</f>
        <v>🔴 Largo</v>
      </c>
    </row>
    <row r="36" spans="1:40" ht="18.75" customHeight="1" x14ac:dyDescent="0.25">
      <c r="A36" s="69">
        <v>32</v>
      </c>
      <c r="B36" s="30" t="s">
        <v>202</v>
      </c>
      <c r="C36" s="26" t="s">
        <v>147</v>
      </c>
      <c r="D36" s="71" t="s">
        <v>139</v>
      </c>
      <c r="E36" s="72" t="s">
        <v>158</v>
      </c>
      <c r="F36" s="74">
        <v>1</v>
      </c>
      <c r="G36" s="74">
        <v>1</v>
      </c>
      <c r="H36" s="74">
        <v>1</v>
      </c>
      <c r="I36" s="74">
        <v>1</v>
      </c>
      <c r="J36" s="75">
        <v>10</v>
      </c>
      <c r="K36" s="75">
        <v>9</v>
      </c>
      <c r="L36" s="75">
        <v>8</v>
      </c>
      <c r="M36" s="75">
        <v>9</v>
      </c>
      <c r="N36" s="87">
        <v>8</v>
      </c>
      <c r="O36" s="87">
        <v>8</v>
      </c>
      <c r="P36" s="86">
        <v>7</v>
      </c>
      <c r="Q36" s="74">
        <v>1</v>
      </c>
      <c r="R36" s="86">
        <v>6</v>
      </c>
      <c r="S36" s="86">
        <v>6</v>
      </c>
      <c r="T36" s="86">
        <v>5</v>
      </c>
      <c r="U36" s="86">
        <v>5</v>
      </c>
      <c r="V36" s="86">
        <v>7</v>
      </c>
      <c r="W36" s="86">
        <v>4</v>
      </c>
      <c r="X36" s="86">
        <v>5</v>
      </c>
      <c r="Y36" s="86">
        <v>5</v>
      </c>
      <c r="Z36" s="74">
        <v>2</v>
      </c>
      <c r="AA36" s="86">
        <v>5</v>
      </c>
      <c r="AB36" s="89">
        <f>IFERROR((30/100*MAX('⚙ Parámetros'!D15/(1+2^(-'⚙ Parámetros'!C15*(F36-'⚙ Parámetros'!B15))),'⚙ Parámetros'!G15/(1+2^(-'⚙ Parámetros'!F15*(F36-'⚙ Parámetros'!E15))),1)*F36+30/100*MAX('⚙ Parámetros'!D15/(1+2^(-'⚙ Parámetros'!C15*(G36-'⚙ Parámetros'!B15))),'⚙ Parámetros'!G15/(1+2^(-'⚙ Parámetros'!F15*(G36-'⚙ Parámetros'!E15))),1)*G36+20/100*MAX('⚙ Parámetros'!D15/(1+2^(-'⚙ Parámetros'!C15*(H36-'⚙ Parámetros'!B15))),'⚙ Parámetros'!G15/(1+2^(-'⚙ Parámetros'!F15*(H36-'⚙ Parámetros'!E15))),1)*H36+20/100*MAX('⚙ Parámetros'!D15/(1+2^(-'⚙ Parámetros'!C15*(I36-'⚙ Parámetros'!B15))),'⚙ Parámetros'!G15/(1+2^(-'⚙ Parámetros'!F15*(I36-'⚙ Parámetros'!E15))),1)*I36)/(30/100*MAX('⚙ Parámetros'!D15/(1+2^(-'⚙ Parámetros'!C15*(F36-'⚙ Parámetros'!B15))),'⚙ Parámetros'!G15/(1+2^(-'⚙ Parámetros'!F15*(F36-'⚙ Parámetros'!E15))),1)+30/100*MAX('⚙ Parámetros'!D15/(1+2^(-'⚙ Parámetros'!C15*(G36-'⚙ Parámetros'!B15))),'⚙ Parámetros'!G15/(1+2^(-'⚙ Parámetros'!F15*(G36-'⚙ Parámetros'!E15))),1)+20/100*MAX('⚙ Parámetros'!D15/(1+2^(-'⚙ Parámetros'!C15*(H36-'⚙ Parámetros'!B15))),'⚙ Parámetros'!G15/(1+2^(-'⚙ Parámetros'!F15*(H36-'⚙ Parámetros'!E15))),1)+20/100*MAX('⚙ Parámetros'!D15/(1+2^(-'⚙ Parámetros'!C15*(I36-'⚙ Parámetros'!B15))),'⚙ Parámetros'!G15/(1+2^(-'⚙ Parámetros'!F15*(I36-'⚙ Parámetros'!E15))),1)),0)</f>
        <v>1</v>
      </c>
      <c r="AC36" s="89">
        <f>IFERROR((35/100*MAX('⚙ Parámetros'!D16/(1+2^(-'⚙ Parámetros'!C16*(J36-'⚙ Parámetros'!B16))),'⚙ Parámetros'!G16/(1+2^(-'⚙ Parámetros'!F16*(J36-'⚙ Parámetros'!E16))),1)*J36+25/100*MAX('⚙ Parámetros'!D16/(1+2^(-'⚙ Parámetros'!C16*(K36-'⚙ Parámetros'!B16))),'⚙ Parámetros'!G16/(1+2^(-'⚙ Parámetros'!F16*(K36-'⚙ Parámetros'!E16))),1)*K36+20/100*MAX('⚙ Parámetros'!D16/(1+2^(-'⚙ Parámetros'!C16*(L36-'⚙ Parámetros'!B16))),'⚙ Parámetros'!G16/(1+2^(-'⚙ Parámetros'!F16*(L36-'⚙ Parámetros'!E16))),1)*L36+20/100*MAX('⚙ Parámetros'!D16/(1+2^(-'⚙ Parámetros'!C16*(M36-'⚙ Parámetros'!B16))),'⚙ Parámetros'!G16/(1+2^(-'⚙ Parámetros'!F16*(M36-'⚙ Parámetros'!E16))),1)*M36)/(35/100*MAX('⚙ Parámetros'!D16/(1+2^(-'⚙ Parámetros'!C16*(J36-'⚙ Parámetros'!B16))),'⚙ Parámetros'!G16/(1+2^(-'⚙ Parámetros'!F16*(J36-'⚙ Parámetros'!E16))),1)+25/100*MAX('⚙ Parámetros'!D16/(1+2^(-'⚙ Parámetros'!C16*(K36-'⚙ Parámetros'!B16))),'⚙ Parámetros'!G16/(1+2^(-'⚙ Parámetros'!F16*(K36-'⚙ Parámetros'!E16))),1)+20/100*MAX('⚙ Parámetros'!D16/(1+2^(-'⚙ Parámetros'!C16*(L36-'⚙ Parámetros'!B16))),'⚙ Parámetros'!G16/(1+2^(-'⚙ Parámetros'!F16*(L36-'⚙ Parámetros'!E16))),1)+20/100*MAX('⚙ Parámetros'!D16/(1+2^(-'⚙ Parámetros'!C16*(M36-'⚙ Parámetros'!B16))),'⚙ Parámetros'!G16/(1+2^(-'⚙ Parámetros'!F16*(M36-'⚙ Parámetros'!E16))),1)),0)</f>
        <v>9.2906110283159453</v>
      </c>
      <c r="AD36" s="89">
        <f>IFERROR((30/100*MAX('⚙ Parámetros'!D17/(1+2^(-'⚙ Parámetros'!C17*(N36-'⚙ Parámetros'!B17))),'⚙ Parámetros'!G17/(1+2^(-'⚙ Parámetros'!F17*(N36-'⚙ Parámetros'!E17))),1)*N36+25/100*MAX('⚙ Parámetros'!D17/(1+2^(-'⚙ Parámetros'!C17*(O36-'⚙ Parámetros'!B17))),'⚙ Parámetros'!G17/(1+2^(-'⚙ Parámetros'!F17*(O36-'⚙ Parámetros'!E17))),1)*O36+25/100*MAX('⚙ Parámetros'!D17/(1+2^(-'⚙ Parámetros'!C17*(P36-'⚙ Parámetros'!B17))),'⚙ Parámetros'!G17/(1+2^(-'⚙ Parámetros'!F17*(P36-'⚙ Parámetros'!E17))),1)*P36+20/100*MAX('⚙ Parámetros'!D17/(1+2^(-'⚙ Parámetros'!C17*(Q36-'⚙ Parámetros'!B17))),'⚙ Parámetros'!G17/(1+2^(-'⚙ Parámetros'!F17*(Q36-'⚙ Parámetros'!E17))),1)*Q36)/(30/100*MAX('⚙ Parámetros'!D17/(1+2^(-'⚙ Parámetros'!C17*(N36-'⚙ Parámetros'!B17))),'⚙ Parámetros'!G17/(1+2^(-'⚙ Parámetros'!F17*(N36-'⚙ Parámetros'!E17))),1)+25/100*MAX('⚙ Parámetros'!D17/(1+2^(-'⚙ Parámetros'!C17*(O36-'⚙ Parámetros'!B17))),'⚙ Parámetros'!G17/(1+2^(-'⚙ Parámetros'!F17*(O36-'⚙ Parámetros'!E17))),1)+25/100*MAX('⚙ Parámetros'!D17/(1+2^(-'⚙ Parámetros'!C17*(P36-'⚙ Parámetros'!B17))),'⚙ Parámetros'!G17/(1+2^(-'⚙ Parámetros'!F17*(P36-'⚙ Parámetros'!E17))),1)+20/100*MAX('⚙ Parámetros'!D17/(1+2^(-'⚙ Parámetros'!C17*(Q36-'⚙ Parámetros'!B17))),'⚙ Parámetros'!G17/(1+2^(-'⚙ Parámetros'!F17*(Q36-'⚙ Parámetros'!E17))),1)),0)</f>
        <v>7.3260869565217384</v>
      </c>
      <c r="AE36" s="89">
        <f>IFERROR((30/100*MAX('⚙ Parámetros'!D18/(1+2^(-'⚙ Parámetros'!C18*(R36-'⚙ Parámetros'!B18))),'⚙ Parámetros'!G18/(1+2^(-'⚙ Parámetros'!F18*(R36-'⚙ Parámetros'!E18))),1)*R36+30/100*MAX('⚙ Parámetros'!D18/(1+2^(-'⚙ Parámetros'!C18*(S36-'⚙ Parámetros'!B18))),'⚙ Parámetros'!G18/(1+2^(-'⚙ Parámetros'!F18*(S36-'⚙ Parámetros'!E18))),1)*S36+20/100*MAX('⚙ Parámetros'!D18/(1+2^(-'⚙ Parámetros'!C18*(T36-'⚙ Parámetros'!B18))),'⚙ Parámetros'!G18/(1+2^(-'⚙ Parámetros'!F18*(T36-'⚙ Parámetros'!E18))),1)*T36+20/100*MAX('⚙ Parámetros'!D18/(1+2^(-'⚙ Parámetros'!C18*(U36-'⚙ Parámetros'!B18))),'⚙ Parámetros'!G18/(1+2^(-'⚙ Parámetros'!F18*(U36-'⚙ Parámetros'!E18))),1)*U36)/(30/100*MAX('⚙ Parámetros'!D18/(1+2^(-'⚙ Parámetros'!C18*(R36-'⚙ Parámetros'!B18))),'⚙ Parámetros'!G18/(1+2^(-'⚙ Parámetros'!F18*(R36-'⚙ Parámetros'!E18))),1)+30/100*MAX('⚙ Parámetros'!D18/(1+2^(-'⚙ Parámetros'!C18*(S36-'⚙ Parámetros'!B18))),'⚙ Parámetros'!G18/(1+2^(-'⚙ Parámetros'!F18*(S36-'⚙ Parámetros'!E18))),1)+20/100*MAX('⚙ Parámetros'!D18/(1+2^(-'⚙ Parámetros'!C18*(T36-'⚙ Parámetros'!B18))),'⚙ Parámetros'!G18/(1+2^(-'⚙ Parámetros'!F18*(T36-'⚙ Parámetros'!E18))),1)+20/100*MAX('⚙ Parámetros'!D18/(1+2^(-'⚙ Parámetros'!C18*(U36-'⚙ Parámetros'!B18))),'⚙ Parámetros'!G18/(1+2^(-'⚙ Parámetros'!F18*(U36-'⚙ Parámetros'!E18))),1)),0)</f>
        <v>5.6428571428571441</v>
      </c>
      <c r="AF36" s="89">
        <f>IFERROR((30/100*MAX('⚙ Parámetros'!D19/(1+2^(-'⚙ Parámetros'!C19*(V36-'⚙ Parámetros'!B19))),'⚙ Parámetros'!G19/(1+2^(-'⚙ Parámetros'!F19*(V36-'⚙ Parámetros'!E19))),1)*V36+35/100*MAX('⚙ Parámetros'!D19/(1+2^(-'⚙ Parámetros'!C19*(W36-'⚙ Parámetros'!B19))),'⚙ Parámetros'!G19/(1+2^(-'⚙ Parámetros'!F19*(W36-'⚙ Parámetros'!E19))),1)*W36+35/100*MAX('⚙ Parámetros'!D19/(1+2^(-'⚙ Parámetros'!C19*(X36-'⚙ Parámetros'!B19))),'⚙ Parámetros'!G19/(1+2^(-'⚙ Parámetros'!F19*(X36-'⚙ Parámetros'!E19))),1)*X36)/(30/100*MAX('⚙ Parámetros'!D19/(1+2^(-'⚙ Parámetros'!C19*(V36-'⚙ Parámetros'!B19))),'⚙ Parámetros'!G19/(1+2^(-'⚙ Parámetros'!F19*(V36-'⚙ Parámetros'!E19))),1)+35/100*MAX('⚙ Parámetros'!D19/(1+2^(-'⚙ Parámetros'!C19*(W36-'⚙ Parámetros'!B19))),'⚙ Parámetros'!G19/(1+2^(-'⚙ Parámetros'!F19*(W36-'⚙ Parámetros'!E19))),1)+35/100*MAX('⚙ Parámetros'!D19/(1+2^(-'⚙ Parámetros'!C19*(X36-'⚙ Parámetros'!B19))),'⚙ Parámetros'!G19/(1+2^(-'⚙ Parámetros'!F19*(X36-'⚙ Parámetros'!E19))),1)),0)</f>
        <v>5.5308641975308657</v>
      </c>
      <c r="AG36" s="89">
        <f>IFERROR((35/100*MAX('⚙ Parámetros'!D20/(1+2^(-'⚙ Parámetros'!C20*(Y36-'⚙ Parámetros'!B20))),'⚙ Parámetros'!G20/(1+2^(-'⚙ Parámetros'!F20*(Y36-'⚙ Parámetros'!E20))),1)*Y36+35/100*MAX('⚙ Parámetros'!D20/(1+2^(-'⚙ Parámetros'!C20*(Z36-'⚙ Parámetros'!B20))),'⚙ Parámetros'!G20/(1+2^(-'⚙ Parámetros'!F20*(Z36-'⚙ Parámetros'!E20))),1)*Z36+30/100*MAX('⚙ Parámetros'!D20/(1+2^(-'⚙ Parámetros'!C20*(AA36-'⚙ Parámetros'!B20))),'⚙ Parámetros'!G20/(1+2^(-'⚙ Parámetros'!F20*(AA36-'⚙ Parámetros'!E20))),1)*AA36)/(35/100*MAX('⚙ Parámetros'!D20/(1+2^(-'⚙ Parámetros'!C20*(Y36-'⚙ Parámetros'!B20))),'⚙ Parámetros'!G20/(1+2^(-'⚙ Parámetros'!F20*(Y36-'⚙ Parámetros'!E20))),1)+35/100*MAX('⚙ Parámetros'!D20/(1+2^(-'⚙ Parámetros'!C20*(Z36-'⚙ Parámetros'!B20))),'⚙ Parámetros'!G20/(1+2^(-'⚙ Parámetros'!F20*(Z36-'⚙ Parámetros'!E20))),1)+30/100*MAX('⚙ Parámetros'!D20/(1+2^(-'⚙ Parámetros'!C20*(AA36-'⚙ Parámetros'!B20))),'⚙ Parámetros'!G20/(1+2^(-'⚙ Parámetros'!F20*(AA36-'⚙ Parámetros'!E20))),1)),0)</f>
        <v>4.1369863013698636</v>
      </c>
      <c r="AH36" s="90">
        <f>('⚙ Parámetros'!B5/100*AB36+'⚙ Parámetros'!B6/100*AC36+'⚙ Parámetros'!B7/100*AD36+'⚙ Parámetros'!B8/100*AE36+'⚙ Parámetros'!B9/100*AF36+'⚙ Parámetros'!B10/100*AG36)</f>
        <v>5.1845277779730701</v>
      </c>
      <c r="AI36" s="91">
        <f ca="1">MIN(1+MAX(0,TODAY()-DATE(2026,3,25))/365*'⚙ Parámetros'!B33,'⚙ Parámetros'!B34)</f>
        <v>1.0324657534246575</v>
      </c>
      <c r="AJ36" s="82">
        <f t="shared" ca="1" si="0"/>
        <v>5.3528473784360315</v>
      </c>
      <c r="AK36" s="92" t="str">
        <f ca="1">IF(AB36&gt;='⚙ Parámetros'!B23,"⚑ AUTO-PRIOR.(D1≥8)",IF(AJ36&gt;='⚙ Parámetros'!B23,"PRIORITARIO",IF(AJ36&gt;='⚙ Parámetros'!B24,"ALTA PRIORIDAD",IF(AJ36&gt;='⚙ Parámetros'!B25,"PRIORIDAD MEDIA",IF(AJ36&gt;='⚙ Parámetros'!B26,"BAJA PRIORIDAD","DESCARTAR")))))</f>
        <v>BAJA PRIORIDAD</v>
      </c>
      <c r="AL36" s="69" t="str">
        <f t="shared" si="1"/>
        <v>—</v>
      </c>
      <c r="AM36" s="85">
        <v>193</v>
      </c>
      <c r="AN36" s="83" t="str">
        <f>IF(AM36="","—",IF(AM36&lt;'⚙ Parámetros'!B29,"🟢 Corto",IF(AM36&lt;'⚙ Parámetros'!B30,"🟡 Medio","🔴 Largo")))</f>
        <v>🔴 Largo</v>
      </c>
    </row>
    <row r="37" spans="1:40" ht="18.75" customHeight="1" x14ac:dyDescent="0.25">
      <c r="A37" s="69">
        <v>33</v>
      </c>
      <c r="B37" s="70" t="s">
        <v>203</v>
      </c>
      <c r="C37" s="4" t="s">
        <v>138</v>
      </c>
      <c r="D37" s="71" t="s">
        <v>139</v>
      </c>
      <c r="E37" s="72" t="s">
        <v>204</v>
      </c>
      <c r="F37" s="73">
        <v>6</v>
      </c>
      <c r="G37" s="73">
        <v>5</v>
      </c>
      <c r="H37" s="74">
        <v>1</v>
      </c>
      <c r="I37" s="73">
        <v>5</v>
      </c>
      <c r="J37" s="74">
        <v>1</v>
      </c>
      <c r="K37" s="74">
        <v>1</v>
      </c>
      <c r="L37" s="75">
        <v>8</v>
      </c>
      <c r="M37" s="73">
        <v>3</v>
      </c>
      <c r="N37" s="73">
        <v>7</v>
      </c>
      <c r="O37" s="74">
        <v>1</v>
      </c>
      <c r="P37" s="74">
        <v>1</v>
      </c>
      <c r="Q37" s="87">
        <v>8</v>
      </c>
      <c r="R37" s="73">
        <v>5</v>
      </c>
      <c r="S37" s="73">
        <v>5</v>
      </c>
      <c r="T37" s="73">
        <v>5</v>
      </c>
      <c r="U37" s="73">
        <v>5</v>
      </c>
      <c r="V37" s="73">
        <v>5</v>
      </c>
      <c r="W37" s="73">
        <v>6</v>
      </c>
      <c r="X37" s="73">
        <v>6</v>
      </c>
      <c r="Y37" s="73">
        <v>4</v>
      </c>
      <c r="Z37" s="74">
        <v>2</v>
      </c>
      <c r="AA37" s="73">
        <v>5</v>
      </c>
      <c r="AB37" s="80">
        <f>IFERROR((30/100*MAX('⚙ Parámetros'!D15/(1+2^(-'⚙ Parámetros'!C15*(F37-'⚙ Parámetros'!B15))),'⚙ Parámetros'!G15/(1+2^(-'⚙ Parámetros'!F15*(F37-'⚙ Parámetros'!E15))),1)*F37+30/100*MAX('⚙ Parámetros'!D15/(1+2^(-'⚙ Parámetros'!C15*(G37-'⚙ Parámetros'!B15))),'⚙ Parámetros'!G15/(1+2^(-'⚙ Parámetros'!F15*(G37-'⚙ Parámetros'!E15))),1)*G37+20/100*MAX('⚙ Parámetros'!D15/(1+2^(-'⚙ Parámetros'!C15*(H37-'⚙ Parámetros'!B15))),'⚙ Parámetros'!G15/(1+2^(-'⚙ Parámetros'!F15*(H37-'⚙ Parámetros'!E15))),1)*H37+20/100*MAX('⚙ Parámetros'!D15/(1+2^(-'⚙ Parámetros'!C15*(I37-'⚙ Parámetros'!B15))),'⚙ Parámetros'!G15/(1+2^(-'⚙ Parámetros'!F15*(I37-'⚙ Parámetros'!E15))),1)*I37)/(30/100*MAX('⚙ Parámetros'!D15/(1+2^(-'⚙ Parámetros'!C15*(F37-'⚙ Parámetros'!B15))),'⚙ Parámetros'!G15/(1+2^(-'⚙ Parámetros'!F15*(F37-'⚙ Parámetros'!E15))),1)+30/100*MAX('⚙ Parámetros'!D15/(1+2^(-'⚙ Parámetros'!C15*(G37-'⚙ Parámetros'!B15))),'⚙ Parámetros'!G15/(1+2^(-'⚙ Parámetros'!F15*(G37-'⚙ Parámetros'!E15))),1)+20/100*MAX('⚙ Parámetros'!D15/(1+2^(-'⚙ Parámetros'!C15*(H37-'⚙ Parámetros'!B15))),'⚙ Parámetros'!G15/(1+2^(-'⚙ Parámetros'!F15*(H37-'⚙ Parámetros'!E15))),1)+20/100*MAX('⚙ Parámetros'!D15/(1+2^(-'⚙ Parámetros'!C15*(I37-'⚙ Parámetros'!B15))),'⚙ Parámetros'!G15/(1+2^(-'⚙ Parámetros'!F15*(I37-'⚙ Parámetros'!E15))),1)),0)</f>
        <v>4.8311688311688314</v>
      </c>
      <c r="AC37" s="80">
        <f>IFERROR((35/100*MAX('⚙ Parámetros'!D16/(1+2^(-'⚙ Parámetros'!C16*(J37-'⚙ Parámetros'!B16))),'⚙ Parámetros'!G16/(1+2^(-'⚙ Parámetros'!F16*(J37-'⚙ Parámetros'!E16))),1)*J37+25/100*MAX('⚙ Parámetros'!D16/(1+2^(-'⚙ Parámetros'!C16*(K37-'⚙ Parámetros'!B16))),'⚙ Parámetros'!G16/(1+2^(-'⚙ Parámetros'!F16*(K37-'⚙ Parámetros'!E16))),1)*K37+20/100*MAX('⚙ Parámetros'!D16/(1+2^(-'⚙ Parámetros'!C16*(L37-'⚙ Parámetros'!B16))),'⚙ Parámetros'!G16/(1+2^(-'⚙ Parámetros'!F16*(L37-'⚙ Parámetros'!E16))),1)*L37+20/100*MAX('⚙ Parámetros'!D16/(1+2^(-'⚙ Parámetros'!C16*(M37-'⚙ Parámetros'!B16))),'⚙ Parámetros'!G16/(1+2^(-'⚙ Parámetros'!F16*(M37-'⚙ Parámetros'!E16))),1)*M37)/(35/100*MAX('⚙ Parámetros'!D16/(1+2^(-'⚙ Parámetros'!C16*(J37-'⚙ Parámetros'!B16))),'⚙ Parámetros'!G16/(1+2^(-'⚙ Parámetros'!F16*(J37-'⚙ Parámetros'!E16))),1)+25/100*MAX('⚙ Parámetros'!D16/(1+2^(-'⚙ Parámetros'!C16*(K37-'⚙ Parámetros'!B16))),'⚙ Parámetros'!G16/(1+2^(-'⚙ Parámetros'!F16*(K37-'⚙ Parámetros'!E16))),1)+20/100*MAX('⚙ Parámetros'!D16/(1+2^(-'⚙ Parámetros'!C16*(L37-'⚙ Parámetros'!B16))),'⚙ Parámetros'!G16/(1+2^(-'⚙ Parámetros'!F16*(L37-'⚙ Parámetros'!E16))),1)+20/100*MAX('⚙ Parámetros'!D16/(1+2^(-'⚙ Parámetros'!C16*(M37-'⚙ Parámetros'!B16))),'⚙ Parámetros'!G16/(1+2^(-'⚙ Parámetros'!F16*(M37-'⚙ Parámetros'!E16))),1)),0)</f>
        <v>4.9411764705882355</v>
      </c>
      <c r="AD37" s="80">
        <f>IFERROR((30/100*MAX('⚙ Parámetros'!D17/(1+2^(-'⚙ Parámetros'!C17*(N37-'⚙ Parámetros'!B17))),'⚙ Parámetros'!G17/(1+2^(-'⚙ Parámetros'!F17*(N37-'⚙ Parámetros'!E17))),1)*N37+25/100*MAX('⚙ Parámetros'!D17/(1+2^(-'⚙ Parámetros'!C17*(O37-'⚙ Parámetros'!B17))),'⚙ Parámetros'!G17/(1+2^(-'⚙ Parámetros'!F17*(O37-'⚙ Parámetros'!E17))),1)*O37+25/100*MAX('⚙ Parámetros'!D17/(1+2^(-'⚙ Parámetros'!C17*(P37-'⚙ Parámetros'!B17))),'⚙ Parámetros'!G17/(1+2^(-'⚙ Parámetros'!F17*(P37-'⚙ Parámetros'!E17))),1)*P37+20/100*MAX('⚙ Parámetros'!D17/(1+2^(-'⚙ Parámetros'!C17*(Q37-'⚙ Parámetros'!B17))),'⚙ Parámetros'!G17/(1+2^(-'⚙ Parámetros'!F17*(Q37-'⚙ Parámetros'!E17))),1)*Q37)/(30/100*MAX('⚙ Parámetros'!D17/(1+2^(-'⚙ Parámetros'!C17*(N37-'⚙ Parámetros'!B17))),'⚙ Parámetros'!G17/(1+2^(-'⚙ Parámetros'!F17*(N37-'⚙ Parámetros'!E17))),1)+25/100*MAX('⚙ Parámetros'!D17/(1+2^(-'⚙ Parámetros'!C17*(O37-'⚙ Parámetros'!B17))),'⚙ Parámetros'!G17/(1+2^(-'⚙ Parámetros'!F17*(O37-'⚙ Parámetros'!E17))),1)+25/100*MAX('⚙ Parámetros'!D17/(1+2^(-'⚙ Parámetros'!C17*(P37-'⚙ Parámetros'!B17))),'⚙ Parámetros'!G17/(1+2^(-'⚙ Parámetros'!F17*(P37-'⚙ Parámetros'!E17))),1)+20/100*MAX('⚙ Parámetros'!D17/(1+2^(-'⚙ Parámetros'!C17*(Q37-'⚙ Parámetros'!B17))),'⚙ Parámetros'!G17/(1+2^(-'⚙ Parámetros'!F17*(Q37-'⚙ Parámetros'!E17))),1)),0)</f>
        <v>5.9523809523809534</v>
      </c>
      <c r="AE37" s="80">
        <f>IFERROR((30/100*MAX('⚙ Parámetros'!D18/(1+2^(-'⚙ Parámetros'!C18*(R37-'⚙ Parámetros'!B18))),'⚙ Parámetros'!G18/(1+2^(-'⚙ Parámetros'!F18*(R37-'⚙ Parámetros'!E18))),1)*R37+30/100*MAX('⚙ Parámetros'!D18/(1+2^(-'⚙ Parámetros'!C18*(S37-'⚙ Parámetros'!B18))),'⚙ Parámetros'!G18/(1+2^(-'⚙ Parámetros'!F18*(S37-'⚙ Parámetros'!E18))),1)*S37+20/100*MAX('⚙ Parámetros'!D18/(1+2^(-'⚙ Parámetros'!C18*(T37-'⚙ Parámetros'!B18))),'⚙ Parámetros'!G18/(1+2^(-'⚙ Parámetros'!F18*(T37-'⚙ Parámetros'!E18))),1)*T37+20/100*MAX('⚙ Parámetros'!D18/(1+2^(-'⚙ Parámetros'!C18*(U37-'⚙ Parámetros'!B18))),'⚙ Parámetros'!G18/(1+2^(-'⚙ Parámetros'!F18*(U37-'⚙ Parámetros'!E18))),1)*U37)/(30/100*MAX('⚙ Parámetros'!D18/(1+2^(-'⚙ Parámetros'!C18*(R37-'⚙ Parámetros'!B18))),'⚙ Parámetros'!G18/(1+2^(-'⚙ Parámetros'!F18*(R37-'⚙ Parámetros'!E18))),1)+30/100*MAX('⚙ Parámetros'!D18/(1+2^(-'⚙ Parámetros'!C18*(S37-'⚙ Parámetros'!B18))),'⚙ Parámetros'!G18/(1+2^(-'⚙ Parámetros'!F18*(S37-'⚙ Parámetros'!E18))),1)+20/100*MAX('⚙ Parámetros'!D18/(1+2^(-'⚙ Parámetros'!C18*(T37-'⚙ Parámetros'!B18))),'⚙ Parámetros'!G18/(1+2^(-'⚙ Parámetros'!F18*(T37-'⚙ Parámetros'!E18))),1)+20/100*MAX('⚙ Parámetros'!D18/(1+2^(-'⚙ Parámetros'!C18*(U37-'⚙ Parámetros'!B18))),'⚙ Parámetros'!G18/(1+2^(-'⚙ Parámetros'!F18*(U37-'⚙ Parámetros'!E18))),1)),0)</f>
        <v>5</v>
      </c>
      <c r="AF37" s="80">
        <f>IFERROR((30/100*MAX('⚙ Parámetros'!D19/(1+2^(-'⚙ Parámetros'!C19*(V37-'⚙ Parámetros'!B19))),'⚙ Parámetros'!G19/(1+2^(-'⚙ Parámetros'!F19*(V37-'⚙ Parámetros'!E19))),1)*V37+35/100*MAX('⚙ Parámetros'!D19/(1+2^(-'⚙ Parámetros'!C19*(W37-'⚙ Parámetros'!B19))),'⚙ Parámetros'!G19/(1+2^(-'⚙ Parámetros'!F19*(W37-'⚙ Parámetros'!E19))),1)*W37+35/100*MAX('⚙ Parámetros'!D19/(1+2^(-'⚙ Parámetros'!C19*(X37-'⚙ Parámetros'!B19))),'⚙ Parámetros'!G19/(1+2^(-'⚙ Parámetros'!F19*(X37-'⚙ Parámetros'!E19))),1)*X37)/(30/100*MAX('⚙ Parámetros'!D19/(1+2^(-'⚙ Parámetros'!C19*(V37-'⚙ Parámetros'!B19))),'⚙ Parámetros'!G19/(1+2^(-'⚙ Parámetros'!F19*(V37-'⚙ Parámetros'!E19))),1)+35/100*MAX('⚙ Parámetros'!D19/(1+2^(-'⚙ Parámetros'!C19*(W37-'⚙ Parámetros'!B19))),'⚙ Parámetros'!G19/(1+2^(-'⚙ Parámetros'!F19*(W37-'⚙ Parámetros'!E19))),1)+35/100*MAX('⚙ Parámetros'!D19/(1+2^(-'⚙ Parámetros'!C19*(X37-'⚙ Parámetros'!B19))),'⚙ Parámetros'!G19/(1+2^(-'⚙ Parámetros'!F19*(X37-'⚙ Parámetros'!E19))),1)),0)</f>
        <v>5.7368421052631575</v>
      </c>
      <c r="AG37" s="80">
        <f>IFERROR((35/100*MAX('⚙ Parámetros'!D20/(1+2^(-'⚙ Parámetros'!C20*(Y37-'⚙ Parámetros'!B20))),'⚙ Parámetros'!G20/(1+2^(-'⚙ Parámetros'!F20*(Y37-'⚙ Parámetros'!E20))),1)*Y37+35/100*MAX('⚙ Parámetros'!D20/(1+2^(-'⚙ Parámetros'!C20*(Z37-'⚙ Parámetros'!B20))),'⚙ Parámetros'!G20/(1+2^(-'⚙ Parámetros'!F20*(Z37-'⚙ Parámetros'!E20))),1)*Z37+30/100*MAX('⚙ Parámetros'!D20/(1+2^(-'⚙ Parámetros'!C20*(AA37-'⚙ Parámetros'!B20))),'⚙ Parámetros'!G20/(1+2^(-'⚙ Parámetros'!F20*(AA37-'⚙ Parámetros'!E20))),1)*AA37)/(35/100*MAX('⚙ Parámetros'!D20/(1+2^(-'⚙ Parámetros'!C20*(Y37-'⚙ Parámetros'!B20))),'⚙ Parámetros'!G20/(1+2^(-'⚙ Parámetros'!F20*(Y37-'⚙ Parámetros'!E20))),1)+35/100*MAX('⚙ Parámetros'!D20/(1+2^(-'⚙ Parámetros'!C20*(Z37-'⚙ Parámetros'!B20))),'⚙ Parámetros'!G20/(1+2^(-'⚙ Parámetros'!F20*(Z37-'⚙ Parámetros'!E20))),1)+30/100*MAX('⚙ Parámetros'!D20/(1+2^(-'⚙ Parámetros'!C20*(AA37-'⚙ Parámetros'!B20))),'⚙ Parámetros'!G20/(1+2^(-'⚙ Parámetros'!F20*(AA37-'⚙ Parámetros'!E20))),1)),0)</f>
        <v>3.7272727272727275</v>
      </c>
      <c r="AH37" s="81">
        <f>('⚙ Parámetros'!B5/100*AB37+'⚙ Parámetros'!B6/100*AC37+'⚙ Parámetros'!B7/100*AD37+'⚙ Parámetros'!B8/100*AE37+'⚙ Parámetros'!B9/100*AF37+'⚙ Parámetros'!B10/100*AG37)</f>
        <v>5.0999281626526205</v>
      </c>
      <c r="AI37" s="33">
        <f ca="1">MIN(1+MAX(0,TODAY()-DATE(2026,5,18))/365*'⚙ Parámetros'!B33,'⚙ Parámetros'!B34)</f>
        <v>1.0102739726027397</v>
      </c>
      <c r="AJ37" s="82">
        <f t="shared" ref="AJ37:AJ68" ca="1" si="2">IFERROR(MIN(AH37*AI37,10),0)</f>
        <v>5.1523246848716537</v>
      </c>
      <c r="AK37" s="83" t="str">
        <f ca="1">IF(AB37&gt;='⚙ Parámetros'!B23,"⚑ AUTO-PRIOR.(D1≥8)",IF(AJ37&gt;='⚙ Parámetros'!B23,"PRIORITARIO",IF(AJ37&gt;='⚙ Parámetros'!B24,"ALTA PRIORIDAD",IF(AJ37&gt;='⚙ Parámetros'!B25,"PRIORIDAD MEDIA",IF(AJ37&gt;='⚙ Parámetros'!B26,"BAJA PRIORIDAD","DESCARTAR")))))</f>
        <v>BAJA PRIORIDAD</v>
      </c>
      <c r="AL37" s="84" t="str">
        <f t="shared" ref="AL37:AL68" si="3">IF(AB37&gt;=8,"SÍ ⚑","—")</f>
        <v>—</v>
      </c>
      <c r="AM37" s="85">
        <v>115</v>
      </c>
      <c r="AN37" s="83" t="str">
        <f>IF(AM37="","—",IF(AM37&lt;'⚙ Parámetros'!B29,"🟢 Corto",IF(AM37&lt;'⚙ Parámetros'!B30,"🟡 Medio","🔴 Largo")))</f>
        <v>🔴 Largo</v>
      </c>
    </row>
    <row r="38" spans="1:40" ht="18.75" customHeight="1" x14ac:dyDescent="0.25">
      <c r="A38" s="69">
        <v>34</v>
      </c>
      <c r="B38" s="30" t="s">
        <v>205</v>
      </c>
      <c r="C38" s="26" t="s">
        <v>182</v>
      </c>
      <c r="D38" s="71" t="s">
        <v>136</v>
      </c>
      <c r="E38" s="72" t="s">
        <v>206</v>
      </c>
      <c r="F38" s="74">
        <v>1</v>
      </c>
      <c r="G38" s="86">
        <v>7</v>
      </c>
      <c r="H38" s="74">
        <v>1</v>
      </c>
      <c r="I38" s="74">
        <v>1</v>
      </c>
      <c r="J38" s="74">
        <v>1</v>
      </c>
      <c r="K38" s="75">
        <v>8</v>
      </c>
      <c r="L38" s="75">
        <v>8</v>
      </c>
      <c r="M38" s="86">
        <v>3</v>
      </c>
      <c r="N38" s="74">
        <v>1</v>
      </c>
      <c r="O38" s="74">
        <v>1</v>
      </c>
      <c r="P38" s="74">
        <v>1</v>
      </c>
      <c r="Q38" s="74">
        <v>1</v>
      </c>
      <c r="R38" s="76">
        <v>9</v>
      </c>
      <c r="S38" s="76">
        <v>9</v>
      </c>
      <c r="T38" s="86">
        <v>5</v>
      </c>
      <c r="U38" s="86">
        <v>5</v>
      </c>
      <c r="V38" s="77">
        <v>8</v>
      </c>
      <c r="W38" s="86">
        <v>6</v>
      </c>
      <c r="X38" s="77">
        <v>9</v>
      </c>
      <c r="Y38" s="86">
        <v>4</v>
      </c>
      <c r="Z38" s="74">
        <v>2</v>
      </c>
      <c r="AA38" s="86">
        <v>5</v>
      </c>
      <c r="AB38" s="89">
        <f>IFERROR((30/100*MAX('⚙ Parámetros'!D15/(1+2^(-'⚙ Parámetros'!C15*(F38-'⚙ Parámetros'!B15))),'⚙ Parámetros'!G15/(1+2^(-'⚙ Parámetros'!F15*(F38-'⚙ Parámetros'!E15))),1)*F38+30/100*MAX('⚙ Parámetros'!D15/(1+2^(-'⚙ Parámetros'!C15*(G38-'⚙ Parámetros'!B15))),'⚙ Parámetros'!G15/(1+2^(-'⚙ Parámetros'!F15*(G38-'⚙ Parámetros'!E15))),1)*G38+20/100*MAX('⚙ Parámetros'!D15/(1+2^(-'⚙ Parámetros'!C15*(H38-'⚙ Parámetros'!B15))),'⚙ Parámetros'!G15/(1+2^(-'⚙ Parámetros'!F15*(H38-'⚙ Parámetros'!E15))),1)*H38+20/100*MAX('⚙ Parámetros'!D15/(1+2^(-'⚙ Parámetros'!C15*(I38-'⚙ Parámetros'!B15))),'⚙ Parámetros'!G15/(1+2^(-'⚙ Parámetros'!F15*(I38-'⚙ Parámetros'!E15))),1)*I38)/(30/100*MAX('⚙ Parámetros'!D15/(1+2^(-'⚙ Parámetros'!C15*(F38-'⚙ Parámetros'!B15))),'⚙ Parámetros'!G15/(1+2^(-'⚙ Parámetros'!F15*(F38-'⚙ Parámetros'!E15))),1)+30/100*MAX('⚙ Parámetros'!D15/(1+2^(-'⚙ Parámetros'!C15*(G38-'⚙ Parámetros'!B15))),'⚙ Parámetros'!G15/(1+2^(-'⚙ Parámetros'!F15*(G38-'⚙ Parámetros'!E15))),1)+20/100*MAX('⚙ Parámetros'!D15/(1+2^(-'⚙ Parámetros'!C15*(H38-'⚙ Parámetros'!B15))),'⚙ Parámetros'!G15/(1+2^(-'⚙ Parámetros'!F15*(H38-'⚙ Parámetros'!E15))),1)+20/100*MAX('⚙ Parámetros'!D15/(1+2^(-'⚙ Parámetros'!C15*(I38-'⚙ Parámetros'!B15))),'⚙ Parámetros'!G15/(1+2^(-'⚙ Parámetros'!F15*(I38-'⚙ Parámetros'!E15))),1)),0)</f>
        <v>4.9512195121951219</v>
      </c>
      <c r="AC38" s="89">
        <f>IFERROR((35/100*MAX('⚙ Parámetros'!D16/(1+2^(-'⚙ Parámetros'!C16*(J38-'⚙ Parámetros'!B16))),'⚙ Parámetros'!G16/(1+2^(-'⚙ Parámetros'!F16*(J38-'⚙ Parámetros'!E16))),1)*J38+25/100*MAX('⚙ Parámetros'!D16/(1+2^(-'⚙ Parámetros'!C16*(K38-'⚙ Parámetros'!B16))),'⚙ Parámetros'!G16/(1+2^(-'⚙ Parámetros'!F16*(K38-'⚙ Parámetros'!E16))),1)*K38+20/100*MAX('⚙ Parámetros'!D16/(1+2^(-'⚙ Parámetros'!C16*(L38-'⚙ Parámetros'!B16))),'⚙ Parámetros'!G16/(1+2^(-'⚙ Parámetros'!F16*(L38-'⚙ Parámetros'!E16))),1)*L38+20/100*MAX('⚙ Parámetros'!D16/(1+2^(-'⚙ Parámetros'!C16*(M38-'⚙ Parámetros'!B16))),'⚙ Parámetros'!G16/(1+2^(-'⚙ Parámetros'!F16*(M38-'⚙ Parámetros'!E16))),1)*M38)/(35/100*MAX('⚙ Parámetros'!D16/(1+2^(-'⚙ Parámetros'!C16*(J38-'⚙ Parámetros'!B16))),'⚙ Parámetros'!G16/(1+2^(-'⚙ Parámetros'!F16*(J38-'⚙ Parámetros'!E16))),1)+25/100*MAX('⚙ Parámetros'!D16/(1+2^(-'⚙ Parámetros'!C16*(K38-'⚙ Parámetros'!B16))),'⚙ Parámetros'!G16/(1+2^(-'⚙ Parámetros'!F16*(K38-'⚙ Parámetros'!E16))),1)+20/100*MAX('⚙ Parámetros'!D16/(1+2^(-'⚙ Parámetros'!C16*(L38-'⚙ Parámetros'!B16))),'⚙ Parámetros'!G16/(1+2^(-'⚙ Parámetros'!F16*(L38-'⚙ Parámetros'!E16))),1)+20/100*MAX('⚙ Parámetros'!D16/(1+2^(-'⚙ Parámetros'!C16*(M38-'⚙ Parámetros'!B16))),'⚙ Parámetros'!G16/(1+2^(-'⚙ Parámetros'!F16*(M38-'⚙ Parámetros'!E16))),1)),0)</f>
        <v>6.6601941747572821</v>
      </c>
      <c r="AD38" s="89">
        <f>IFERROR((30/100*MAX('⚙ Parámetros'!D17/(1+2^(-'⚙ Parámetros'!C17*(N38-'⚙ Parámetros'!B17))),'⚙ Parámetros'!G17/(1+2^(-'⚙ Parámetros'!F17*(N38-'⚙ Parámetros'!E17))),1)*N38+25/100*MAX('⚙ Parámetros'!D17/(1+2^(-'⚙ Parámetros'!C17*(O38-'⚙ Parámetros'!B17))),'⚙ Parámetros'!G17/(1+2^(-'⚙ Parámetros'!F17*(O38-'⚙ Parámetros'!E17))),1)*O38+25/100*MAX('⚙ Parámetros'!D17/(1+2^(-'⚙ Parámetros'!C17*(P38-'⚙ Parámetros'!B17))),'⚙ Parámetros'!G17/(1+2^(-'⚙ Parámetros'!F17*(P38-'⚙ Parámetros'!E17))),1)*P38+20/100*MAX('⚙ Parámetros'!D17/(1+2^(-'⚙ Parámetros'!C17*(Q38-'⚙ Parámetros'!B17))),'⚙ Parámetros'!G17/(1+2^(-'⚙ Parámetros'!F17*(Q38-'⚙ Parámetros'!E17))),1)*Q38)/(30/100*MAX('⚙ Parámetros'!D17/(1+2^(-'⚙ Parámetros'!C17*(N38-'⚙ Parámetros'!B17))),'⚙ Parámetros'!G17/(1+2^(-'⚙ Parámetros'!F17*(N38-'⚙ Parámetros'!E17))),1)+25/100*MAX('⚙ Parámetros'!D17/(1+2^(-'⚙ Parámetros'!C17*(O38-'⚙ Parámetros'!B17))),'⚙ Parámetros'!G17/(1+2^(-'⚙ Parámetros'!F17*(O38-'⚙ Parámetros'!E17))),1)+25/100*MAX('⚙ Parámetros'!D17/(1+2^(-'⚙ Parámetros'!C17*(P38-'⚙ Parámetros'!B17))),'⚙ Parámetros'!G17/(1+2^(-'⚙ Parámetros'!F17*(P38-'⚙ Parámetros'!E17))),1)+20/100*MAX('⚙ Parámetros'!D17/(1+2^(-'⚙ Parámetros'!C17*(Q38-'⚙ Parámetros'!B17))),'⚙ Parámetros'!G17/(1+2^(-'⚙ Parámetros'!F17*(Q38-'⚙ Parámetros'!E17))),1)),0)</f>
        <v>1</v>
      </c>
      <c r="AE38" s="89">
        <f>IFERROR((30/100*MAX('⚙ Parámetros'!D18/(1+2^(-'⚙ Parámetros'!C18*(R38-'⚙ Parámetros'!B18))),'⚙ Parámetros'!G18/(1+2^(-'⚙ Parámetros'!F18*(R38-'⚙ Parámetros'!E18))),1)*R38+30/100*MAX('⚙ Parámetros'!D18/(1+2^(-'⚙ Parámetros'!C18*(S38-'⚙ Parámetros'!B18))),'⚙ Parámetros'!G18/(1+2^(-'⚙ Parámetros'!F18*(S38-'⚙ Parámetros'!E18))),1)*S38+20/100*MAX('⚙ Parámetros'!D18/(1+2^(-'⚙ Parámetros'!C18*(T38-'⚙ Parámetros'!B18))),'⚙ Parámetros'!G18/(1+2^(-'⚙ Parámetros'!F18*(T38-'⚙ Parámetros'!E18))),1)*T38+20/100*MAX('⚙ Parámetros'!D18/(1+2^(-'⚙ Parámetros'!C18*(U38-'⚙ Parámetros'!B18))),'⚙ Parámetros'!G18/(1+2^(-'⚙ Parámetros'!F18*(U38-'⚙ Parámetros'!E18))),1)*U38)/(30/100*MAX('⚙ Parámetros'!D18/(1+2^(-'⚙ Parámetros'!C18*(R38-'⚙ Parámetros'!B18))),'⚙ Parámetros'!G18/(1+2^(-'⚙ Parámetros'!F18*(R38-'⚙ Parámetros'!E18))),1)+30/100*MAX('⚙ Parámetros'!D18/(1+2^(-'⚙ Parámetros'!C18*(S38-'⚙ Parámetros'!B18))),'⚙ Parámetros'!G18/(1+2^(-'⚙ Parámetros'!F18*(S38-'⚙ Parámetros'!E18))),1)+20/100*MAX('⚙ Parámetros'!D18/(1+2^(-'⚙ Parámetros'!C18*(T38-'⚙ Parámetros'!B18))),'⚙ Parámetros'!G18/(1+2^(-'⚙ Parámetros'!F18*(T38-'⚙ Parámetros'!E18))),1)+20/100*MAX('⚙ Parámetros'!D18/(1+2^(-'⚙ Parámetros'!C18*(U38-'⚙ Parámetros'!B18))),'⚙ Parámetros'!G18/(1+2^(-'⚙ Parámetros'!F18*(U38-'⚙ Parámetros'!E18))),1)),0)</f>
        <v>8.1801060365339655</v>
      </c>
      <c r="AF38" s="89">
        <f>IFERROR((30/100*MAX('⚙ Parámetros'!D19/(1+2^(-'⚙ Parámetros'!C19*(V38-'⚙ Parámetros'!B19))),'⚙ Parámetros'!G19/(1+2^(-'⚙ Parámetros'!F19*(V38-'⚙ Parámetros'!E19))),1)*V38+35/100*MAX('⚙ Parámetros'!D19/(1+2^(-'⚙ Parámetros'!C19*(W38-'⚙ Parámetros'!B19))),'⚙ Parámetros'!G19/(1+2^(-'⚙ Parámetros'!F19*(W38-'⚙ Parámetros'!E19))),1)*W38+35/100*MAX('⚙ Parámetros'!D19/(1+2^(-'⚙ Parámetros'!C19*(X38-'⚙ Parámetros'!B19))),'⚙ Parámetros'!G19/(1+2^(-'⚙ Parámetros'!F19*(X38-'⚙ Parámetros'!E19))),1)*X38)/(30/100*MAX('⚙ Parámetros'!D19/(1+2^(-'⚙ Parámetros'!C19*(V38-'⚙ Parámetros'!B19))),'⚙ Parámetros'!G19/(1+2^(-'⚙ Parámetros'!F19*(V38-'⚙ Parámetros'!E19))),1)+35/100*MAX('⚙ Parámetros'!D19/(1+2^(-'⚙ Parámetros'!C19*(W38-'⚙ Parámetros'!B19))),'⚙ Parámetros'!G19/(1+2^(-'⚙ Parámetros'!F19*(W38-'⚙ Parámetros'!E19))),1)+35/100*MAX('⚙ Parámetros'!D19/(1+2^(-'⚙ Parámetros'!C19*(X38-'⚙ Parámetros'!B19))),'⚙ Parámetros'!G19/(1+2^(-'⚙ Parámetros'!F19*(X38-'⚙ Parámetros'!E19))),1)),0)</f>
        <v>8.0351483057098907</v>
      </c>
      <c r="AG38" s="89">
        <f>IFERROR((35/100*MAX('⚙ Parámetros'!D20/(1+2^(-'⚙ Parámetros'!C20*(Y38-'⚙ Parámetros'!B20))),'⚙ Parámetros'!G20/(1+2^(-'⚙ Parámetros'!F20*(Y38-'⚙ Parámetros'!E20))),1)*Y38+35/100*MAX('⚙ Parámetros'!D20/(1+2^(-'⚙ Parámetros'!C20*(Z38-'⚙ Parámetros'!B20))),'⚙ Parámetros'!G20/(1+2^(-'⚙ Parámetros'!F20*(Z38-'⚙ Parámetros'!E20))),1)*Z38+30/100*MAX('⚙ Parámetros'!D20/(1+2^(-'⚙ Parámetros'!C20*(AA38-'⚙ Parámetros'!B20))),'⚙ Parámetros'!G20/(1+2^(-'⚙ Parámetros'!F20*(AA38-'⚙ Parámetros'!E20))),1)*AA38)/(35/100*MAX('⚙ Parámetros'!D20/(1+2^(-'⚙ Parámetros'!C20*(Y38-'⚙ Parámetros'!B20))),'⚙ Parámetros'!G20/(1+2^(-'⚙ Parámetros'!F20*(Y38-'⚙ Parámetros'!E20))),1)+35/100*MAX('⚙ Parámetros'!D20/(1+2^(-'⚙ Parámetros'!C20*(Z38-'⚙ Parámetros'!B20))),'⚙ Parámetros'!G20/(1+2^(-'⚙ Parámetros'!F20*(Z38-'⚙ Parámetros'!E20))),1)+30/100*MAX('⚙ Parámetros'!D20/(1+2^(-'⚙ Parámetros'!C20*(AA38-'⚙ Parámetros'!B20))),'⚙ Parámetros'!G20/(1+2^(-'⚙ Parámetros'!F20*(AA38-'⚙ Parámetros'!E20))),1)),0)</f>
        <v>3.7272727272727275</v>
      </c>
      <c r="AH38" s="90">
        <f>('⚙ Parámetros'!B5/100*AB38+'⚙ Parámetros'!B6/100*AC38+'⚙ Parámetros'!B7/100*AD38+'⚙ Parámetros'!B8/100*AE38+'⚙ Parámetros'!B9/100*AF38+'⚙ Parámetros'!B10/100*AG38)</f>
        <v>5.100714061746876</v>
      </c>
      <c r="AI38" s="91">
        <f ca="1">MIN(1+MAX(0,TODAY()-DATE(2026,1,29))/365*'⚙ Parámetros'!B33,'⚙ Parámetros'!B34)</f>
        <v>1.0550684931506848</v>
      </c>
      <c r="AJ38" s="82">
        <f t="shared" ca="1" si="2"/>
        <v>5.3816026991197861</v>
      </c>
      <c r="AK38" s="92" t="str">
        <f ca="1">IF(AB38&gt;='⚙ Parámetros'!B23,"⚑ AUTO-PRIOR.(D1≥8)",IF(AJ38&gt;='⚙ Parámetros'!B23,"PRIORITARIO",IF(AJ38&gt;='⚙ Parámetros'!B24,"ALTA PRIORIDAD",IF(AJ38&gt;='⚙ Parámetros'!B25,"PRIORIDAD MEDIA",IF(AJ38&gt;='⚙ Parámetros'!B26,"BAJA PRIORIDAD","DESCARTAR")))))</f>
        <v>BAJA PRIORIDAD</v>
      </c>
      <c r="AL38" s="69" t="str">
        <f t="shared" si="3"/>
        <v>—</v>
      </c>
      <c r="AM38" s="85">
        <v>190</v>
      </c>
      <c r="AN38" s="83" t="str">
        <f>IF(AM38="","—",IF(AM38&lt;'⚙ Parámetros'!B29,"🟢 Corto",IF(AM38&lt;'⚙ Parámetros'!B30,"🟡 Medio","🔴 Largo")))</f>
        <v>🔴 Largo</v>
      </c>
    </row>
    <row r="39" spans="1:40" ht="18.75" customHeight="1" x14ac:dyDescent="0.25">
      <c r="A39" s="69">
        <v>35</v>
      </c>
      <c r="B39" s="70" t="s">
        <v>207</v>
      </c>
      <c r="C39" s="4" t="s">
        <v>147</v>
      </c>
      <c r="D39" s="71" t="s">
        <v>208</v>
      </c>
      <c r="E39" s="72" t="s">
        <v>158</v>
      </c>
      <c r="F39" s="74">
        <v>1</v>
      </c>
      <c r="G39" s="74">
        <v>1</v>
      </c>
      <c r="H39" s="74">
        <v>1</v>
      </c>
      <c r="I39" s="74">
        <v>1</v>
      </c>
      <c r="J39" s="75">
        <v>10</v>
      </c>
      <c r="K39" s="75">
        <v>9</v>
      </c>
      <c r="L39" s="75">
        <v>8</v>
      </c>
      <c r="M39" s="75">
        <v>9</v>
      </c>
      <c r="N39" s="87">
        <v>8</v>
      </c>
      <c r="O39" s="74">
        <v>1</v>
      </c>
      <c r="P39" s="73">
        <v>7</v>
      </c>
      <c r="Q39" s="74">
        <v>1</v>
      </c>
      <c r="R39" s="73">
        <v>7</v>
      </c>
      <c r="S39" s="73">
        <v>6</v>
      </c>
      <c r="T39" s="73">
        <v>5</v>
      </c>
      <c r="U39" s="73">
        <v>5</v>
      </c>
      <c r="V39" s="73">
        <v>7</v>
      </c>
      <c r="W39" s="73">
        <v>6</v>
      </c>
      <c r="X39" s="73">
        <v>5</v>
      </c>
      <c r="Y39" s="73">
        <v>5</v>
      </c>
      <c r="Z39" s="74">
        <v>2</v>
      </c>
      <c r="AA39" s="73">
        <v>5</v>
      </c>
      <c r="AB39" s="80">
        <f>IFERROR((30/100*MAX('⚙ Parámetros'!D15/(1+2^(-'⚙ Parámetros'!C15*(F39-'⚙ Parámetros'!B15))),'⚙ Parámetros'!G15/(1+2^(-'⚙ Parámetros'!F15*(F39-'⚙ Parámetros'!E15))),1)*F39+30/100*MAX('⚙ Parámetros'!D15/(1+2^(-'⚙ Parámetros'!C15*(G39-'⚙ Parámetros'!B15))),'⚙ Parámetros'!G15/(1+2^(-'⚙ Parámetros'!F15*(G39-'⚙ Parámetros'!E15))),1)*G39+20/100*MAX('⚙ Parámetros'!D15/(1+2^(-'⚙ Parámetros'!C15*(H39-'⚙ Parámetros'!B15))),'⚙ Parámetros'!G15/(1+2^(-'⚙ Parámetros'!F15*(H39-'⚙ Parámetros'!E15))),1)*H39+20/100*MAX('⚙ Parámetros'!D15/(1+2^(-'⚙ Parámetros'!C15*(I39-'⚙ Parámetros'!B15))),'⚙ Parámetros'!G15/(1+2^(-'⚙ Parámetros'!F15*(I39-'⚙ Parámetros'!E15))),1)*I39)/(30/100*MAX('⚙ Parámetros'!D15/(1+2^(-'⚙ Parámetros'!C15*(F39-'⚙ Parámetros'!B15))),'⚙ Parámetros'!G15/(1+2^(-'⚙ Parámetros'!F15*(F39-'⚙ Parámetros'!E15))),1)+30/100*MAX('⚙ Parámetros'!D15/(1+2^(-'⚙ Parámetros'!C15*(G39-'⚙ Parámetros'!B15))),'⚙ Parámetros'!G15/(1+2^(-'⚙ Parámetros'!F15*(G39-'⚙ Parámetros'!E15))),1)+20/100*MAX('⚙ Parámetros'!D15/(1+2^(-'⚙ Parámetros'!C15*(H39-'⚙ Parámetros'!B15))),'⚙ Parámetros'!G15/(1+2^(-'⚙ Parámetros'!F15*(H39-'⚙ Parámetros'!E15))),1)+20/100*MAX('⚙ Parámetros'!D15/(1+2^(-'⚙ Parámetros'!C15*(I39-'⚙ Parámetros'!B15))),'⚙ Parámetros'!G15/(1+2^(-'⚙ Parámetros'!F15*(I39-'⚙ Parámetros'!E15))),1)),0)</f>
        <v>1</v>
      </c>
      <c r="AC39" s="80">
        <f>IFERROR((35/100*MAX('⚙ Parámetros'!D16/(1+2^(-'⚙ Parámetros'!C16*(J39-'⚙ Parámetros'!B16))),'⚙ Parámetros'!G16/(1+2^(-'⚙ Parámetros'!F16*(J39-'⚙ Parámetros'!E16))),1)*J39+25/100*MAX('⚙ Parámetros'!D16/(1+2^(-'⚙ Parámetros'!C16*(K39-'⚙ Parámetros'!B16))),'⚙ Parámetros'!G16/(1+2^(-'⚙ Parámetros'!F16*(K39-'⚙ Parámetros'!E16))),1)*K39+20/100*MAX('⚙ Parámetros'!D16/(1+2^(-'⚙ Parámetros'!C16*(L39-'⚙ Parámetros'!B16))),'⚙ Parámetros'!G16/(1+2^(-'⚙ Parámetros'!F16*(L39-'⚙ Parámetros'!E16))),1)*L39+20/100*MAX('⚙ Parámetros'!D16/(1+2^(-'⚙ Parámetros'!C16*(M39-'⚙ Parámetros'!B16))),'⚙ Parámetros'!G16/(1+2^(-'⚙ Parámetros'!F16*(M39-'⚙ Parámetros'!E16))),1)*M39)/(35/100*MAX('⚙ Parámetros'!D16/(1+2^(-'⚙ Parámetros'!C16*(J39-'⚙ Parámetros'!B16))),'⚙ Parámetros'!G16/(1+2^(-'⚙ Parámetros'!F16*(J39-'⚙ Parámetros'!E16))),1)+25/100*MAX('⚙ Parámetros'!D16/(1+2^(-'⚙ Parámetros'!C16*(K39-'⚙ Parámetros'!B16))),'⚙ Parámetros'!G16/(1+2^(-'⚙ Parámetros'!F16*(K39-'⚙ Parámetros'!E16))),1)+20/100*MAX('⚙ Parámetros'!D16/(1+2^(-'⚙ Parámetros'!C16*(L39-'⚙ Parámetros'!B16))),'⚙ Parámetros'!G16/(1+2^(-'⚙ Parámetros'!F16*(L39-'⚙ Parámetros'!E16))),1)+20/100*MAX('⚙ Parámetros'!D16/(1+2^(-'⚙ Parámetros'!C16*(M39-'⚙ Parámetros'!B16))),'⚙ Parámetros'!G16/(1+2^(-'⚙ Parámetros'!F16*(M39-'⚙ Parámetros'!E16))),1)),0)</f>
        <v>9.2906110283159453</v>
      </c>
      <c r="AD39" s="80">
        <f>IFERROR((30/100*MAX('⚙ Parámetros'!D17/(1+2^(-'⚙ Parámetros'!C17*(N39-'⚙ Parámetros'!B17))),'⚙ Parámetros'!G17/(1+2^(-'⚙ Parámetros'!F17*(N39-'⚙ Parámetros'!E17))),1)*N39+25/100*MAX('⚙ Parámetros'!D17/(1+2^(-'⚙ Parámetros'!C17*(O39-'⚙ Parámetros'!B17))),'⚙ Parámetros'!G17/(1+2^(-'⚙ Parámetros'!F17*(O39-'⚙ Parámetros'!E17))),1)*O39+25/100*MAX('⚙ Parámetros'!D17/(1+2^(-'⚙ Parámetros'!C17*(P39-'⚙ Parámetros'!B17))),'⚙ Parámetros'!G17/(1+2^(-'⚙ Parámetros'!F17*(P39-'⚙ Parámetros'!E17))),1)*P39+20/100*MAX('⚙ Parámetros'!D17/(1+2^(-'⚙ Parámetros'!C17*(Q39-'⚙ Parámetros'!B17))),'⚙ Parámetros'!G17/(1+2^(-'⚙ Parámetros'!F17*(Q39-'⚙ Parámetros'!E17))),1)*Q39)/(30/100*MAX('⚙ Parámetros'!D17/(1+2^(-'⚙ Parámetros'!C17*(N39-'⚙ Parámetros'!B17))),'⚙ Parámetros'!G17/(1+2^(-'⚙ Parámetros'!F17*(N39-'⚙ Parámetros'!E17))),1)+25/100*MAX('⚙ Parámetros'!D17/(1+2^(-'⚙ Parámetros'!C17*(O39-'⚙ Parámetros'!B17))),'⚙ Parámetros'!G17/(1+2^(-'⚙ Parámetros'!F17*(O39-'⚙ Parámetros'!E17))),1)+25/100*MAX('⚙ Parámetros'!D17/(1+2^(-'⚙ Parámetros'!C17*(P39-'⚙ Parámetros'!B17))),'⚙ Parámetros'!G17/(1+2^(-'⚙ Parámetros'!F17*(P39-'⚙ Parámetros'!E17))),1)+20/100*MAX('⚙ Parámetros'!D17/(1+2^(-'⚙ Parámetros'!C17*(Q39-'⚙ Parámetros'!B17))),'⚙ Parámetros'!G17/(1+2^(-'⚙ Parámetros'!F17*(Q39-'⚙ Parámetros'!E17))),1)),0)</f>
        <v>6.3525179856115095</v>
      </c>
      <c r="AE39" s="80">
        <f>IFERROR((30/100*MAX('⚙ Parámetros'!D18/(1+2^(-'⚙ Parámetros'!C18*(R39-'⚙ Parámetros'!B18))),'⚙ Parámetros'!G18/(1+2^(-'⚙ Parámetros'!F18*(R39-'⚙ Parámetros'!E18))),1)*R39+30/100*MAX('⚙ Parámetros'!D18/(1+2^(-'⚙ Parámetros'!C18*(S39-'⚙ Parámetros'!B18))),'⚙ Parámetros'!G18/(1+2^(-'⚙ Parámetros'!F18*(S39-'⚙ Parámetros'!E18))),1)*S39+20/100*MAX('⚙ Parámetros'!D18/(1+2^(-'⚙ Parámetros'!C18*(T39-'⚙ Parámetros'!B18))),'⚙ Parámetros'!G18/(1+2^(-'⚙ Parámetros'!F18*(T39-'⚙ Parámetros'!E18))),1)*T39+20/100*MAX('⚙ Parámetros'!D18/(1+2^(-'⚙ Parámetros'!C18*(U39-'⚙ Parámetros'!B18))),'⚙ Parámetros'!G18/(1+2^(-'⚙ Parámetros'!F18*(U39-'⚙ Parámetros'!E18))),1)*U39)/(30/100*MAX('⚙ Parámetros'!D18/(1+2^(-'⚙ Parámetros'!C18*(R39-'⚙ Parámetros'!B18))),'⚙ Parámetros'!G18/(1+2^(-'⚙ Parámetros'!F18*(R39-'⚙ Parámetros'!E18))),1)+30/100*MAX('⚙ Parámetros'!D18/(1+2^(-'⚙ Parámetros'!C18*(S39-'⚙ Parámetros'!B18))),'⚙ Parámetros'!G18/(1+2^(-'⚙ Parámetros'!F18*(S39-'⚙ Parámetros'!E18))),1)+20/100*MAX('⚙ Parámetros'!D18/(1+2^(-'⚙ Parámetros'!C18*(T39-'⚙ Parámetros'!B18))),'⚙ Parámetros'!G18/(1+2^(-'⚙ Parámetros'!F18*(T39-'⚙ Parámetros'!E18))),1)+20/100*MAX('⚙ Parámetros'!D18/(1+2^(-'⚙ Parámetros'!C18*(U39-'⚙ Parámetros'!B18))),'⚙ Parámetros'!G18/(1+2^(-'⚙ Parámetros'!F18*(U39-'⚙ Parámetros'!E18))),1)),0)</f>
        <v>6</v>
      </c>
      <c r="AF39" s="80">
        <f>IFERROR((30/100*MAX('⚙ Parámetros'!D19/(1+2^(-'⚙ Parámetros'!C19*(V39-'⚙ Parámetros'!B19))),'⚙ Parámetros'!G19/(1+2^(-'⚙ Parámetros'!F19*(V39-'⚙ Parámetros'!E19))),1)*V39+35/100*MAX('⚙ Parámetros'!D19/(1+2^(-'⚙ Parámetros'!C19*(W39-'⚙ Parámetros'!B19))),'⚙ Parámetros'!G19/(1+2^(-'⚙ Parámetros'!F19*(W39-'⚙ Parámetros'!E19))),1)*W39+35/100*MAX('⚙ Parámetros'!D19/(1+2^(-'⚙ Parámetros'!C19*(X39-'⚙ Parámetros'!B19))),'⚙ Parámetros'!G19/(1+2^(-'⚙ Parámetros'!F19*(X39-'⚙ Parámetros'!E19))),1)*X39)/(30/100*MAX('⚙ Parámetros'!D19/(1+2^(-'⚙ Parámetros'!C19*(V39-'⚙ Parámetros'!B19))),'⚙ Parámetros'!G19/(1+2^(-'⚙ Parámetros'!F19*(V39-'⚙ Parámetros'!E19))),1)+35/100*MAX('⚙ Parámetros'!D19/(1+2^(-'⚙ Parámetros'!C19*(W39-'⚙ Parámetros'!B19))),'⚙ Parámetros'!G19/(1+2^(-'⚙ Parámetros'!F19*(W39-'⚙ Parámetros'!E19))),1)+35/100*MAX('⚙ Parámetros'!D19/(1+2^(-'⚙ Parámetros'!C19*(X39-'⚙ Parámetros'!B19))),'⚙ Parámetros'!G19/(1+2^(-'⚙ Parámetros'!F19*(X39-'⚙ Parámetros'!E19))),1)),0)</f>
        <v>6.0427350427350435</v>
      </c>
      <c r="AG39" s="80">
        <f>IFERROR((35/100*MAX('⚙ Parámetros'!D20/(1+2^(-'⚙ Parámetros'!C20*(Y39-'⚙ Parámetros'!B20))),'⚙ Parámetros'!G20/(1+2^(-'⚙ Parámetros'!F20*(Y39-'⚙ Parámetros'!E20))),1)*Y39+35/100*MAX('⚙ Parámetros'!D20/(1+2^(-'⚙ Parámetros'!C20*(Z39-'⚙ Parámetros'!B20))),'⚙ Parámetros'!G20/(1+2^(-'⚙ Parámetros'!F20*(Z39-'⚙ Parámetros'!E20))),1)*Z39+30/100*MAX('⚙ Parámetros'!D20/(1+2^(-'⚙ Parámetros'!C20*(AA39-'⚙ Parámetros'!B20))),'⚙ Parámetros'!G20/(1+2^(-'⚙ Parámetros'!F20*(AA39-'⚙ Parámetros'!E20))),1)*AA39)/(35/100*MAX('⚙ Parámetros'!D20/(1+2^(-'⚙ Parámetros'!C20*(Y39-'⚙ Parámetros'!B20))),'⚙ Parámetros'!G20/(1+2^(-'⚙ Parámetros'!F20*(Y39-'⚙ Parámetros'!E20))),1)+35/100*MAX('⚙ Parámetros'!D20/(1+2^(-'⚙ Parámetros'!C20*(Z39-'⚙ Parámetros'!B20))),'⚙ Parámetros'!G20/(1+2^(-'⚙ Parámetros'!F20*(Z39-'⚙ Parámetros'!E20))),1)+30/100*MAX('⚙ Parámetros'!D20/(1+2^(-'⚙ Parámetros'!C20*(AA39-'⚙ Parámetros'!B20))),'⚙ Parámetros'!G20/(1+2^(-'⚙ Parámetros'!F20*(AA39-'⚙ Parámetros'!E20))),1)),0)</f>
        <v>4.1369863013698636</v>
      </c>
      <c r="AH39" s="81">
        <f>('⚙ Parámetros'!B5/100*AB39+'⚙ Parámetros'!B6/100*AC39+'⚙ Parámetros'!B7/100*AD39+'⚙ Parámetros'!B8/100*AE39+'⚙ Parámetros'!B9/100*AF39+'⚙ Parámetros'!B10/100*AG39)</f>
        <v>5.0838582111685851</v>
      </c>
      <c r="AI39" s="33">
        <f ca="1">MIN(1+MAX(0,TODAY()-DATE(2026,3,25))/365*'⚙ Parámetros'!B33,'⚙ Parámetros'!B34)</f>
        <v>1.0324657534246575</v>
      </c>
      <c r="AJ39" s="82">
        <f t="shared" ca="1" si="2"/>
        <v>5.2489094982983051</v>
      </c>
      <c r="AK39" s="83" t="str">
        <f ca="1">IF(AB39&gt;='⚙ Parámetros'!B23,"⚑ AUTO-PRIOR.(D1≥8)",IF(AJ39&gt;='⚙ Parámetros'!B23,"PRIORITARIO",IF(AJ39&gt;='⚙ Parámetros'!B24,"ALTA PRIORIDAD",IF(AJ39&gt;='⚙ Parámetros'!B25,"PRIORIDAD MEDIA",IF(AJ39&gt;='⚙ Parámetros'!B26,"BAJA PRIORIDAD","DESCARTAR")))))</f>
        <v>BAJA PRIORIDAD</v>
      </c>
      <c r="AL39" s="84" t="str">
        <f t="shared" si="3"/>
        <v>—</v>
      </c>
      <c r="AM39" s="85">
        <v>187</v>
      </c>
      <c r="AN39" s="83" t="str">
        <f>IF(AM39="","—",IF(AM39&lt;'⚙ Parámetros'!B29,"🟢 Corto",IF(AM39&lt;'⚙ Parámetros'!B30,"🟡 Medio","🔴 Largo")))</f>
        <v>🔴 Largo</v>
      </c>
    </row>
    <row r="40" spans="1:40" ht="18.75" customHeight="1" x14ac:dyDescent="0.25">
      <c r="A40" s="69">
        <v>36</v>
      </c>
      <c r="B40" s="30" t="s">
        <v>209</v>
      </c>
      <c r="C40" s="26" t="s">
        <v>147</v>
      </c>
      <c r="D40" s="71" t="s">
        <v>208</v>
      </c>
      <c r="E40" s="72" t="s">
        <v>210</v>
      </c>
      <c r="F40" s="74">
        <v>1</v>
      </c>
      <c r="G40" s="74">
        <v>1</v>
      </c>
      <c r="H40" s="74">
        <v>1</v>
      </c>
      <c r="I40" s="74">
        <v>1</v>
      </c>
      <c r="J40" s="75">
        <v>10</v>
      </c>
      <c r="K40" s="75">
        <v>9</v>
      </c>
      <c r="L40" s="75">
        <v>8</v>
      </c>
      <c r="M40" s="75">
        <v>9</v>
      </c>
      <c r="N40" s="87">
        <v>8</v>
      </c>
      <c r="O40" s="74">
        <v>1</v>
      </c>
      <c r="P40" s="86">
        <v>7</v>
      </c>
      <c r="Q40" s="74">
        <v>1</v>
      </c>
      <c r="R40" s="86">
        <v>7</v>
      </c>
      <c r="S40" s="86">
        <v>6</v>
      </c>
      <c r="T40" s="86">
        <v>5</v>
      </c>
      <c r="U40" s="86">
        <v>5</v>
      </c>
      <c r="V40" s="86">
        <v>7</v>
      </c>
      <c r="W40" s="86">
        <v>6</v>
      </c>
      <c r="X40" s="86">
        <v>5</v>
      </c>
      <c r="Y40" s="86">
        <v>5</v>
      </c>
      <c r="Z40" s="74">
        <v>2</v>
      </c>
      <c r="AA40" s="86">
        <v>5</v>
      </c>
      <c r="AB40" s="89">
        <f>IFERROR((30/100*MAX('⚙ Parámetros'!D15/(1+2^(-'⚙ Parámetros'!C15*(F40-'⚙ Parámetros'!B15))),'⚙ Parámetros'!G15/(1+2^(-'⚙ Parámetros'!F15*(F40-'⚙ Parámetros'!E15))),1)*F40+30/100*MAX('⚙ Parámetros'!D15/(1+2^(-'⚙ Parámetros'!C15*(G40-'⚙ Parámetros'!B15))),'⚙ Parámetros'!G15/(1+2^(-'⚙ Parámetros'!F15*(G40-'⚙ Parámetros'!E15))),1)*G40+20/100*MAX('⚙ Parámetros'!D15/(1+2^(-'⚙ Parámetros'!C15*(H40-'⚙ Parámetros'!B15))),'⚙ Parámetros'!G15/(1+2^(-'⚙ Parámetros'!F15*(H40-'⚙ Parámetros'!E15))),1)*H40+20/100*MAX('⚙ Parámetros'!D15/(1+2^(-'⚙ Parámetros'!C15*(I40-'⚙ Parámetros'!B15))),'⚙ Parámetros'!G15/(1+2^(-'⚙ Parámetros'!F15*(I40-'⚙ Parámetros'!E15))),1)*I40)/(30/100*MAX('⚙ Parámetros'!D15/(1+2^(-'⚙ Parámetros'!C15*(F40-'⚙ Parámetros'!B15))),'⚙ Parámetros'!G15/(1+2^(-'⚙ Parámetros'!F15*(F40-'⚙ Parámetros'!E15))),1)+30/100*MAX('⚙ Parámetros'!D15/(1+2^(-'⚙ Parámetros'!C15*(G40-'⚙ Parámetros'!B15))),'⚙ Parámetros'!G15/(1+2^(-'⚙ Parámetros'!F15*(G40-'⚙ Parámetros'!E15))),1)+20/100*MAX('⚙ Parámetros'!D15/(1+2^(-'⚙ Parámetros'!C15*(H40-'⚙ Parámetros'!B15))),'⚙ Parámetros'!G15/(1+2^(-'⚙ Parámetros'!F15*(H40-'⚙ Parámetros'!E15))),1)+20/100*MAX('⚙ Parámetros'!D15/(1+2^(-'⚙ Parámetros'!C15*(I40-'⚙ Parámetros'!B15))),'⚙ Parámetros'!G15/(1+2^(-'⚙ Parámetros'!F15*(I40-'⚙ Parámetros'!E15))),1)),0)</f>
        <v>1</v>
      </c>
      <c r="AC40" s="89">
        <f>IFERROR((35/100*MAX('⚙ Parámetros'!D16/(1+2^(-'⚙ Parámetros'!C16*(J40-'⚙ Parámetros'!B16))),'⚙ Parámetros'!G16/(1+2^(-'⚙ Parámetros'!F16*(J40-'⚙ Parámetros'!E16))),1)*J40+25/100*MAX('⚙ Parámetros'!D16/(1+2^(-'⚙ Parámetros'!C16*(K40-'⚙ Parámetros'!B16))),'⚙ Parámetros'!G16/(1+2^(-'⚙ Parámetros'!F16*(K40-'⚙ Parámetros'!E16))),1)*K40+20/100*MAX('⚙ Parámetros'!D16/(1+2^(-'⚙ Parámetros'!C16*(L40-'⚙ Parámetros'!B16))),'⚙ Parámetros'!G16/(1+2^(-'⚙ Parámetros'!F16*(L40-'⚙ Parámetros'!E16))),1)*L40+20/100*MAX('⚙ Parámetros'!D16/(1+2^(-'⚙ Parámetros'!C16*(M40-'⚙ Parámetros'!B16))),'⚙ Parámetros'!G16/(1+2^(-'⚙ Parámetros'!F16*(M40-'⚙ Parámetros'!E16))),1)*M40)/(35/100*MAX('⚙ Parámetros'!D16/(1+2^(-'⚙ Parámetros'!C16*(J40-'⚙ Parámetros'!B16))),'⚙ Parámetros'!G16/(1+2^(-'⚙ Parámetros'!F16*(J40-'⚙ Parámetros'!E16))),1)+25/100*MAX('⚙ Parámetros'!D16/(1+2^(-'⚙ Parámetros'!C16*(K40-'⚙ Parámetros'!B16))),'⚙ Parámetros'!G16/(1+2^(-'⚙ Parámetros'!F16*(K40-'⚙ Parámetros'!E16))),1)+20/100*MAX('⚙ Parámetros'!D16/(1+2^(-'⚙ Parámetros'!C16*(L40-'⚙ Parámetros'!B16))),'⚙ Parámetros'!G16/(1+2^(-'⚙ Parámetros'!F16*(L40-'⚙ Parámetros'!E16))),1)+20/100*MAX('⚙ Parámetros'!D16/(1+2^(-'⚙ Parámetros'!C16*(M40-'⚙ Parámetros'!B16))),'⚙ Parámetros'!G16/(1+2^(-'⚙ Parámetros'!F16*(M40-'⚙ Parámetros'!E16))),1)),0)</f>
        <v>9.2906110283159453</v>
      </c>
      <c r="AD40" s="89">
        <f>IFERROR((30/100*MAX('⚙ Parámetros'!D17/(1+2^(-'⚙ Parámetros'!C17*(N40-'⚙ Parámetros'!B17))),'⚙ Parámetros'!G17/(1+2^(-'⚙ Parámetros'!F17*(N40-'⚙ Parámetros'!E17))),1)*N40+25/100*MAX('⚙ Parámetros'!D17/(1+2^(-'⚙ Parámetros'!C17*(O40-'⚙ Parámetros'!B17))),'⚙ Parámetros'!G17/(1+2^(-'⚙ Parámetros'!F17*(O40-'⚙ Parámetros'!E17))),1)*O40+25/100*MAX('⚙ Parámetros'!D17/(1+2^(-'⚙ Parámetros'!C17*(P40-'⚙ Parámetros'!B17))),'⚙ Parámetros'!G17/(1+2^(-'⚙ Parámetros'!F17*(P40-'⚙ Parámetros'!E17))),1)*P40+20/100*MAX('⚙ Parámetros'!D17/(1+2^(-'⚙ Parámetros'!C17*(Q40-'⚙ Parámetros'!B17))),'⚙ Parámetros'!G17/(1+2^(-'⚙ Parámetros'!F17*(Q40-'⚙ Parámetros'!E17))),1)*Q40)/(30/100*MAX('⚙ Parámetros'!D17/(1+2^(-'⚙ Parámetros'!C17*(N40-'⚙ Parámetros'!B17))),'⚙ Parámetros'!G17/(1+2^(-'⚙ Parámetros'!F17*(N40-'⚙ Parámetros'!E17))),1)+25/100*MAX('⚙ Parámetros'!D17/(1+2^(-'⚙ Parámetros'!C17*(O40-'⚙ Parámetros'!B17))),'⚙ Parámetros'!G17/(1+2^(-'⚙ Parámetros'!F17*(O40-'⚙ Parámetros'!E17))),1)+25/100*MAX('⚙ Parámetros'!D17/(1+2^(-'⚙ Parámetros'!C17*(P40-'⚙ Parámetros'!B17))),'⚙ Parámetros'!G17/(1+2^(-'⚙ Parámetros'!F17*(P40-'⚙ Parámetros'!E17))),1)+20/100*MAX('⚙ Parámetros'!D17/(1+2^(-'⚙ Parámetros'!C17*(Q40-'⚙ Parámetros'!B17))),'⚙ Parámetros'!G17/(1+2^(-'⚙ Parámetros'!F17*(Q40-'⚙ Parámetros'!E17))),1)),0)</f>
        <v>6.3525179856115095</v>
      </c>
      <c r="AE40" s="89">
        <f>IFERROR((30/100*MAX('⚙ Parámetros'!D18/(1+2^(-'⚙ Parámetros'!C18*(R40-'⚙ Parámetros'!B18))),'⚙ Parámetros'!G18/(1+2^(-'⚙ Parámetros'!F18*(R40-'⚙ Parámetros'!E18))),1)*R40+30/100*MAX('⚙ Parámetros'!D18/(1+2^(-'⚙ Parámetros'!C18*(S40-'⚙ Parámetros'!B18))),'⚙ Parámetros'!G18/(1+2^(-'⚙ Parámetros'!F18*(S40-'⚙ Parámetros'!E18))),1)*S40+20/100*MAX('⚙ Parámetros'!D18/(1+2^(-'⚙ Parámetros'!C18*(T40-'⚙ Parámetros'!B18))),'⚙ Parámetros'!G18/(1+2^(-'⚙ Parámetros'!F18*(T40-'⚙ Parámetros'!E18))),1)*T40+20/100*MAX('⚙ Parámetros'!D18/(1+2^(-'⚙ Parámetros'!C18*(U40-'⚙ Parámetros'!B18))),'⚙ Parámetros'!G18/(1+2^(-'⚙ Parámetros'!F18*(U40-'⚙ Parámetros'!E18))),1)*U40)/(30/100*MAX('⚙ Parámetros'!D18/(1+2^(-'⚙ Parámetros'!C18*(R40-'⚙ Parámetros'!B18))),'⚙ Parámetros'!G18/(1+2^(-'⚙ Parámetros'!F18*(R40-'⚙ Parámetros'!E18))),1)+30/100*MAX('⚙ Parámetros'!D18/(1+2^(-'⚙ Parámetros'!C18*(S40-'⚙ Parámetros'!B18))),'⚙ Parámetros'!G18/(1+2^(-'⚙ Parámetros'!F18*(S40-'⚙ Parámetros'!E18))),1)+20/100*MAX('⚙ Parámetros'!D18/(1+2^(-'⚙ Parámetros'!C18*(T40-'⚙ Parámetros'!B18))),'⚙ Parámetros'!G18/(1+2^(-'⚙ Parámetros'!F18*(T40-'⚙ Parámetros'!E18))),1)+20/100*MAX('⚙ Parámetros'!D18/(1+2^(-'⚙ Parámetros'!C18*(U40-'⚙ Parámetros'!B18))),'⚙ Parámetros'!G18/(1+2^(-'⚙ Parámetros'!F18*(U40-'⚙ Parámetros'!E18))),1)),0)</f>
        <v>6</v>
      </c>
      <c r="AF40" s="89">
        <f>IFERROR((30/100*MAX('⚙ Parámetros'!D19/(1+2^(-'⚙ Parámetros'!C19*(V40-'⚙ Parámetros'!B19))),'⚙ Parámetros'!G19/(1+2^(-'⚙ Parámetros'!F19*(V40-'⚙ Parámetros'!E19))),1)*V40+35/100*MAX('⚙ Parámetros'!D19/(1+2^(-'⚙ Parámetros'!C19*(W40-'⚙ Parámetros'!B19))),'⚙ Parámetros'!G19/(1+2^(-'⚙ Parámetros'!F19*(W40-'⚙ Parámetros'!E19))),1)*W40+35/100*MAX('⚙ Parámetros'!D19/(1+2^(-'⚙ Parámetros'!C19*(X40-'⚙ Parámetros'!B19))),'⚙ Parámetros'!G19/(1+2^(-'⚙ Parámetros'!F19*(X40-'⚙ Parámetros'!E19))),1)*X40)/(30/100*MAX('⚙ Parámetros'!D19/(1+2^(-'⚙ Parámetros'!C19*(V40-'⚙ Parámetros'!B19))),'⚙ Parámetros'!G19/(1+2^(-'⚙ Parámetros'!F19*(V40-'⚙ Parámetros'!E19))),1)+35/100*MAX('⚙ Parámetros'!D19/(1+2^(-'⚙ Parámetros'!C19*(W40-'⚙ Parámetros'!B19))),'⚙ Parámetros'!G19/(1+2^(-'⚙ Parámetros'!F19*(W40-'⚙ Parámetros'!E19))),1)+35/100*MAX('⚙ Parámetros'!D19/(1+2^(-'⚙ Parámetros'!C19*(X40-'⚙ Parámetros'!B19))),'⚙ Parámetros'!G19/(1+2^(-'⚙ Parámetros'!F19*(X40-'⚙ Parámetros'!E19))),1)),0)</f>
        <v>6.0427350427350435</v>
      </c>
      <c r="AG40" s="89">
        <f>IFERROR((35/100*MAX('⚙ Parámetros'!D20/(1+2^(-'⚙ Parámetros'!C20*(Y40-'⚙ Parámetros'!B20))),'⚙ Parámetros'!G20/(1+2^(-'⚙ Parámetros'!F20*(Y40-'⚙ Parámetros'!E20))),1)*Y40+35/100*MAX('⚙ Parámetros'!D20/(1+2^(-'⚙ Parámetros'!C20*(Z40-'⚙ Parámetros'!B20))),'⚙ Parámetros'!G20/(1+2^(-'⚙ Parámetros'!F20*(Z40-'⚙ Parámetros'!E20))),1)*Z40+30/100*MAX('⚙ Parámetros'!D20/(1+2^(-'⚙ Parámetros'!C20*(AA40-'⚙ Parámetros'!B20))),'⚙ Parámetros'!G20/(1+2^(-'⚙ Parámetros'!F20*(AA40-'⚙ Parámetros'!E20))),1)*AA40)/(35/100*MAX('⚙ Parámetros'!D20/(1+2^(-'⚙ Parámetros'!C20*(Y40-'⚙ Parámetros'!B20))),'⚙ Parámetros'!G20/(1+2^(-'⚙ Parámetros'!F20*(Y40-'⚙ Parámetros'!E20))),1)+35/100*MAX('⚙ Parámetros'!D20/(1+2^(-'⚙ Parámetros'!C20*(Z40-'⚙ Parámetros'!B20))),'⚙ Parámetros'!G20/(1+2^(-'⚙ Parámetros'!F20*(Z40-'⚙ Parámetros'!E20))),1)+30/100*MAX('⚙ Parámetros'!D20/(1+2^(-'⚙ Parámetros'!C20*(AA40-'⚙ Parámetros'!B20))),'⚙ Parámetros'!G20/(1+2^(-'⚙ Parámetros'!F20*(AA40-'⚙ Parámetros'!E20))),1)),0)</f>
        <v>4.1369863013698636</v>
      </c>
      <c r="AH40" s="90">
        <f>('⚙ Parámetros'!B5/100*AB40+'⚙ Parámetros'!B6/100*AC40+'⚙ Parámetros'!B7/100*AD40+'⚙ Parámetros'!B8/100*AE40+'⚙ Parámetros'!B9/100*AF40+'⚙ Parámetros'!B10/100*AG40)</f>
        <v>5.0838582111685851</v>
      </c>
      <c r="AI40" s="91">
        <f ca="1">MIN(1+MAX(0,TODAY()-DATE(2026,3,20))/365*'⚙ Parámetros'!B33,'⚙ Parámetros'!B34)</f>
        <v>1.0345205479452055</v>
      </c>
      <c r="AJ40" s="82">
        <f t="shared" ca="1" si="2"/>
        <v>5.2593557822938575</v>
      </c>
      <c r="AK40" s="92" t="str">
        <f ca="1">IF(AB40&gt;='⚙ Parámetros'!B23,"⚑ AUTO-PRIOR.(D1≥8)",IF(AJ40&gt;='⚙ Parámetros'!B23,"PRIORITARIO",IF(AJ40&gt;='⚙ Parámetros'!B24,"ALTA PRIORIDAD",IF(AJ40&gt;='⚙ Parámetros'!B25,"PRIORIDAD MEDIA",IF(AJ40&gt;='⚙ Parámetros'!B26,"BAJA PRIORIDAD","DESCARTAR")))))</f>
        <v>BAJA PRIORIDAD</v>
      </c>
      <c r="AL40" s="69" t="str">
        <f t="shared" si="3"/>
        <v>—</v>
      </c>
      <c r="AM40" s="85">
        <v>69</v>
      </c>
      <c r="AN40" s="83" t="str">
        <f>IF(AM40="","—",IF(AM40&lt;'⚙ Parámetros'!B29,"🟢 Corto",IF(AM40&lt;'⚙ Parámetros'!B30,"🟡 Medio","🔴 Largo")))</f>
        <v>🟡 Medio</v>
      </c>
    </row>
    <row r="41" spans="1:40" ht="18.75" customHeight="1" x14ac:dyDescent="0.25">
      <c r="A41" s="69">
        <v>37</v>
      </c>
      <c r="B41" s="70" t="s">
        <v>211</v>
      </c>
      <c r="C41" s="4" t="s">
        <v>147</v>
      </c>
      <c r="D41" s="71" t="s">
        <v>208</v>
      </c>
      <c r="E41" s="72" t="s">
        <v>212</v>
      </c>
      <c r="F41" s="74">
        <v>1</v>
      </c>
      <c r="G41" s="74">
        <v>1</v>
      </c>
      <c r="H41" s="74">
        <v>1</v>
      </c>
      <c r="I41" s="74">
        <v>1</v>
      </c>
      <c r="J41" s="75">
        <v>10</v>
      </c>
      <c r="K41" s="75">
        <v>9</v>
      </c>
      <c r="L41" s="75">
        <v>8</v>
      </c>
      <c r="M41" s="75">
        <v>9</v>
      </c>
      <c r="N41" s="87">
        <v>8</v>
      </c>
      <c r="O41" s="74">
        <v>1</v>
      </c>
      <c r="P41" s="73">
        <v>7</v>
      </c>
      <c r="Q41" s="74">
        <v>1</v>
      </c>
      <c r="R41" s="73">
        <v>7</v>
      </c>
      <c r="S41" s="73">
        <v>6</v>
      </c>
      <c r="T41" s="73">
        <v>5</v>
      </c>
      <c r="U41" s="73">
        <v>5</v>
      </c>
      <c r="V41" s="73">
        <v>7</v>
      </c>
      <c r="W41" s="73">
        <v>6</v>
      </c>
      <c r="X41" s="73">
        <v>5</v>
      </c>
      <c r="Y41" s="73">
        <v>5</v>
      </c>
      <c r="Z41" s="74">
        <v>2</v>
      </c>
      <c r="AA41" s="73">
        <v>5</v>
      </c>
      <c r="AB41" s="80">
        <f>IFERROR((30/100*MAX('⚙ Parámetros'!D15/(1+2^(-'⚙ Parámetros'!C15*(F41-'⚙ Parámetros'!B15))),'⚙ Parámetros'!G15/(1+2^(-'⚙ Parámetros'!F15*(F41-'⚙ Parámetros'!E15))),1)*F41+30/100*MAX('⚙ Parámetros'!D15/(1+2^(-'⚙ Parámetros'!C15*(G41-'⚙ Parámetros'!B15))),'⚙ Parámetros'!G15/(1+2^(-'⚙ Parámetros'!F15*(G41-'⚙ Parámetros'!E15))),1)*G41+20/100*MAX('⚙ Parámetros'!D15/(1+2^(-'⚙ Parámetros'!C15*(H41-'⚙ Parámetros'!B15))),'⚙ Parámetros'!G15/(1+2^(-'⚙ Parámetros'!F15*(H41-'⚙ Parámetros'!E15))),1)*H41+20/100*MAX('⚙ Parámetros'!D15/(1+2^(-'⚙ Parámetros'!C15*(I41-'⚙ Parámetros'!B15))),'⚙ Parámetros'!G15/(1+2^(-'⚙ Parámetros'!F15*(I41-'⚙ Parámetros'!E15))),1)*I41)/(30/100*MAX('⚙ Parámetros'!D15/(1+2^(-'⚙ Parámetros'!C15*(F41-'⚙ Parámetros'!B15))),'⚙ Parámetros'!G15/(1+2^(-'⚙ Parámetros'!F15*(F41-'⚙ Parámetros'!E15))),1)+30/100*MAX('⚙ Parámetros'!D15/(1+2^(-'⚙ Parámetros'!C15*(G41-'⚙ Parámetros'!B15))),'⚙ Parámetros'!G15/(1+2^(-'⚙ Parámetros'!F15*(G41-'⚙ Parámetros'!E15))),1)+20/100*MAX('⚙ Parámetros'!D15/(1+2^(-'⚙ Parámetros'!C15*(H41-'⚙ Parámetros'!B15))),'⚙ Parámetros'!G15/(1+2^(-'⚙ Parámetros'!F15*(H41-'⚙ Parámetros'!E15))),1)+20/100*MAX('⚙ Parámetros'!D15/(1+2^(-'⚙ Parámetros'!C15*(I41-'⚙ Parámetros'!B15))),'⚙ Parámetros'!G15/(1+2^(-'⚙ Parámetros'!F15*(I41-'⚙ Parámetros'!E15))),1)),0)</f>
        <v>1</v>
      </c>
      <c r="AC41" s="80">
        <f>IFERROR((35/100*MAX('⚙ Parámetros'!D16/(1+2^(-'⚙ Parámetros'!C16*(J41-'⚙ Parámetros'!B16))),'⚙ Parámetros'!G16/(1+2^(-'⚙ Parámetros'!F16*(J41-'⚙ Parámetros'!E16))),1)*J41+25/100*MAX('⚙ Parámetros'!D16/(1+2^(-'⚙ Parámetros'!C16*(K41-'⚙ Parámetros'!B16))),'⚙ Parámetros'!G16/(1+2^(-'⚙ Parámetros'!F16*(K41-'⚙ Parámetros'!E16))),1)*K41+20/100*MAX('⚙ Parámetros'!D16/(1+2^(-'⚙ Parámetros'!C16*(L41-'⚙ Parámetros'!B16))),'⚙ Parámetros'!G16/(1+2^(-'⚙ Parámetros'!F16*(L41-'⚙ Parámetros'!E16))),1)*L41+20/100*MAX('⚙ Parámetros'!D16/(1+2^(-'⚙ Parámetros'!C16*(M41-'⚙ Parámetros'!B16))),'⚙ Parámetros'!G16/(1+2^(-'⚙ Parámetros'!F16*(M41-'⚙ Parámetros'!E16))),1)*M41)/(35/100*MAX('⚙ Parámetros'!D16/(1+2^(-'⚙ Parámetros'!C16*(J41-'⚙ Parámetros'!B16))),'⚙ Parámetros'!G16/(1+2^(-'⚙ Parámetros'!F16*(J41-'⚙ Parámetros'!E16))),1)+25/100*MAX('⚙ Parámetros'!D16/(1+2^(-'⚙ Parámetros'!C16*(K41-'⚙ Parámetros'!B16))),'⚙ Parámetros'!G16/(1+2^(-'⚙ Parámetros'!F16*(K41-'⚙ Parámetros'!E16))),1)+20/100*MAX('⚙ Parámetros'!D16/(1+2^(-'⚙ Parámetros'!C16*(L41-'⚙ Parámetros'!B16))),'⚙ Parámetros'!G16/(1+2^(-'⚙ Parámetros'!F16*(L41-'⚙ Parámetros'!E16))),1)+20/100*MAX('⚙ Parámetros'!D16/(1+2^(-'⚙ Parámetros'!C16*(M41-'⚙ Parámetros'!B16))),'⚙ Parámetros'!G16/(1+2^(-'⚙ Parámetros'!F16*(M41-'⚙ Parámetros'!E16))),1)),0)</f>
        <v>9.2906110283159453</v>
      </c>
      <c r="AD41" s="80">
        <f>IFERROR((30/100*MAX('⚙ Parámetros'!D17/(1+2^(-'⚙ Parámetros'!C17*(N41-'⚙ Parámetros'!B17))),'⚙ Parámetros'!G17/(1+2^(-'⚙ Parámetros'!F17*(N41-'⚙ Parámetros'!E17))),1)*N41+25/100*MAX('⚙ Parámetros'!D17/(1+2^(-'⚙ Parámetros'!C17*(O41-'⚙ Parámetros'!B17))),'⚙ Parámetros'!G17/(1+2^(-'⚙ Parámetros'!F17*(O41-'⚙ Parámetros'!E17))),1)*O41+25/100*MAX('⚙ Parámetros'!D17/(1+2^(-'⚙ Parámetros'!C17*(P41-'⚙ Parámetros'!B17))),'⚙ Parámetros'!G17/(1+2^(-'⚙ Parámetros'!F17*(P41-'⚙ Parámetros'!E17))),1)*P41+20/100*MAX('⚙ Parámetros'!D17/(1+2^(-'⚙ Parámetros'!C17*(Q41-'⚙ Parámetros'!B17))),'⚙ Parámetros'!G17/(1+2^(-'⚙ Parámetros'!F17*(Q41-'⚙ Parámetros'!E17))),1)*Q41)/(30/100*MAX('⚙ Parámetros'!D17/(1+2^(-'⚙ Parámetros'!C17*(N41-'⚙ Parámetros'!B17))),'⚙ Parámetros'!G17/(1+2^(-'⚙ Parámetros'!F17*(N41-'⚙ Parámetros'!E17))),1)+25/100*MAX('⚙ Parámetros'!D17/(1+2^(-'⚙ Parámetros'!C17*(O41-'⚙ Parámetros'!B17))),'⚙ Parámetros'!G17/(1+2^(-'⚙ Parámetros'!F17*(O41-'⚙ Parámetros'!E17))),1)+25/100*MAX('⚙ Parámetros'!D17/(1+2^(-'⚙ Parámetros'!C17*(P41-'⚙ Parámetros'!B17))),'⚙ Parámetros'!G17/(1+2^(-'⚙ Parámetros'!F17*(P41-'⚙ Parámetros'!E17))),1)+20/100*MAX('⚙ Parámetros'!D17/(1+2^(-'⚙ Parámetros'!C17*(Q41-'⚙ Parámetros'!B17))),'⚙ Parámetros'!G17/(1+2^(-'⚙ Parámetros'!F17*(Q41-'⚙ Parámetros'!E17))),1)),0)</f>
        <v>6.3525179856115095</v>
      </c>
      <c r="AE41" s="80">
        <f>IFERROR((30/100*MAX('⚙ Parámetros'!D18/(1+2^(-'⚙ Parámetros'!C18*(R41-'⚙ Parámetros'!B18))),'⚙ Parámetros'!G18/(1+2^(-'⚙ Parámetros'!F18*(R41-'⚙ Parámetros'!E18))),1)*R41+30/100*MAX('⚙ Parámetros'!D18/(1+2^(-'⚙ Parámetros'!C18*(S41-'⚙ Parámetros'!B18))),'⚙ Parámetros'!G18/(1+2^(-'⚙ Parámetros'!F18*(S41-'⚙ Parámetros'!E18))),1)*S41+20/100*MAX('⚙ Parámetros'!D18/(1+2^(-'⚙ Parámetros'!C18*(T41-'⚙ Parámetros'!B18))),'⚙ Parámetros'!G18/(1+2^(-'⚙ Parámetros'!F18*(T41-'⚙ Parámetros'!E18))),1)*T41+20/100*MAX('⚙ Parámetros'!D18/(1+2^(-'⚙ Parámetros'!C18*(U41-'⚙ Parámetros'!B18))),'⚙ Parámetros'!G18/(1+2^(-'⚙ Parámetros'!F18*(U41-'⚙ Parámetros'!E18))),1)*U41)/(30/100*MAX('⚙ Parámetros'!D18/(1+2^(-'⚙ Parámetros'!C18*(R41-'⚙ Parámetros'!B18))),'⚙ Parámetros'!G18/(1+2^(-'⚙ Parámetros'!F18*(R41-'⚙ Parámetros'!E18))),1)+30/100*MAX('⚙ Parámetros'!D18/(1+2^(-'⚙ Parámetros'!C18*(S41-'⚙ Parámetros'!B18))),'⚙ Parámetros'!G18/(1+2^(-'⚙ Parámetros'!F18*(S41-'⚙ Parámetros'!E18))),1)+20/100*MAX('⚙ Parámetros'!D18/(1+2^(-'⚙ Parámetros'!C18*(T41-'⚙ Parámetros'!B18))),'⚙ Parámetros'!G18/(1+2^(-'⚙ Parámetros'!F18*(T41-'⚙ Parámetros'!E18))),1)+20/100*MAX('⚙ Parámetros'!D18/(1+2^(-'⚙ Parámetros'!C18*(U41-'⚙ Parámetros'!B18))),'⚙ Parámetros'!G18/(1+2^(-'⚙ Parámetros'!F18*(U41-'⚙ Parámetros'!E18))),1)),0)</f>
        <v>6</v>
      </c>
      <c r="AF41" s="80">
        <f>IFERROR((30/100*MAX('⚙ Parámetros'!D19/(1+2^(-'⚙ Parámetros'!C19*(V41-'⚙ Parámetros'!B19))),'⚙ Parámetros'!G19/(1+2^(-'⚙ Parámetros'!F19*(V41-'⚙ Parámetros'!E19))),1)*V41+35/100*MAX('⚙ Parámetros'!D19/(1+2^(-'⚙ Parámetros'!C19*(W41-'⚙ Parámetros'!B19))),'⚙ Parámetros'!G19/(1+2^(-'⚙ Parámetros'!F19*(W41-'⚙ Parámetros'!E19))),1)*W41+35/100*MAX('⚙ Parámetros'!D19/(1+2^(-'⚙ Parámetros'!C19*(X41-'⚙ Parámetros'!B19))),'⚙ Parámetros'!G19/(1+2^(-'⚙ Parámetros'!F19*(X41-'⚙ Parámetros'!E19))),1)*X41)/(30/100*MAX('⚙ Parámetros'!D19/(1+2^(-'⚙ Parámetros'!C19*(V41-'⚙ Parámetros'!B19))),'⚙ Parámetros'!G19/(1+2^(-'⚙ Parámetros'!F19*(V41-'⚙ Parámetros'!E19))),1)+35/100*MAX('⚙ Parámetros'!D19/(1+2^(-'⚙ Parámetros'!C19*(W41-'⚙ Parámetros'!B19))),'⚙ Parámetros'!G19/(1+2^(-'⚙ Parámetros'!F19*(W41-'⚙ Parámetros'!E19))),1)+35/100*MAX('⚙ Parámetros'!D19/(1+2^(-'⚙ Parámetros'!C19*(X41-'⚙ Parámetros'!B19))),'⚙ Parámetros'!G19/(1+2^(-'⚙ Parámetros'!F19*(X41-'⚙ Parámetros'!E19))),1)),0)</f>
        <v>6.0427350427350435</v>
      </c>
      <c r="AG41" s="80">
        <f>IFERROR((35/100*MAX('⚙ Parámetros'!D20/(1+2^(-'⚙ Parámetros'!C20*(Y41-'⚙ Parámetros'!B20))),'⚙ Parámetros'!G20/(1+2^(-'⚙ Parámetros'!F20*(Y41-'⚙ Parámetros'!E20))),1)*Y41+35/100*MAX('⚙ Parámetros'!D20/(1+2^(-'⚙ Parámetros'!C20*(Z41-'⚙ Parámetros'!B20))),'⚙ Parámetros'!G20/(1+2^(-'⚙ Parámetros'!F20*(Z41-'⚙ Parámetros'!E20))),1)*Z41+30/100*MAX('⚙ Parámetros'!D20/(1+2^(-'⚙ Parámetros'!C20*(AA41-'⚙ Parámetros'!B20))),'⚙ Parámetros'!G20/(1+2^(-'⚙ Parámetros'!F20*(AA41-'⚙ Parámetros'!E20))),1)*AA41)/(35/100*MAX('⚙ Parámetros'!D20/(1+2^(-'⚙ Parámetros'!C20*(Y41-'⚙ Parámetros'!B20))),'⚙ Parámetros'!G20/(1+2^(-'⚙ Parámetros'!F20*(Y41-'⚙ Parámetros'!E20))),1)+35/100*MAX('⚙ Parámetros'!D20/(1+2^(-'⚙ Parámetros'!C20*(Z41-'⚙ Parámetros'!B20))),'⚙ Parámetros'!G20/(1+2^(-'⚙ Parámetros'!F20*(Z41-'⚙ Parámetros'!E20))),1)+30/100*MAX('⚙ Parámetros'!D20/(1+2^(-'⚙ Parámetros'!C20*(AA41-'⚙ Parámetros'!B20))),'⚙ Parámetros'!G20/(1+2^(-'⚙ Parámetros'!F20*(AA41-'⚙ Parámetros'!E20))),1)),0)</f>
        <v>4.1369863013698636</v>
      </c>
      <c r="AH41" s="81">
        <f>('⚙ Parámetros'!B5/100*AB41+'⚙ Parámetros'!B6/100*AC41+'⚙ Parámetros'!B7/100*AD41+'⚙ Parámetros'!B8/100*AE41+'⚙ Parámetros'!B9/100*AF41+'⚙ Parámetros'!B10/100*AG41)</f>
        <v>5.0838582111685851</v>
      </c>
      <c r="AI41" s="33">
        <f ca="1">MIN(1+MAX(0,TODAY()-DATE(2026,2,4))/365*'⚙ Parámetros'!B33,'⚙ Parámetros'!B34)</f>
        <v>1.0526027397260274</v>
      </c>
      <c r="AJ41" s="82">
        <f t="shared" ca="1" si="2"/>
        <v>5.3512830814547128</v>
      </c>
      <c r="AK41" s="83" t="str">
        <f ca="1">IF(AB41&gt;='⚙ Parámetros'!B23,"⚑ AUTO-PRIOR.(D1≥8)",IF(AJ41&gt;='⚙ Parámetros'!B23,"PRIORITARIO",IF(AJ41&gt;='⚙ Parámetros'!B24,"ALTA PRIORIDAD",IF(AJ41&gt;='⚙ Parámetros'!B25,"PRIORIDAD MEDIA",IF(AJ41&gt;='⚙ Parámetros'!B26,"BAJA PRIORIDAD","DESCARTAR")))))</f>
        <v>BAJA PRIORIDAD</v>
      </c>
      <c r="AL41" s="84" t="str">
        <f t="shared" si="3"/>
        <v>—</v>
      </c>
      <c r="AM41" s="85">
        <v>159</v>
      </c>
      <c r="AN41" s="83" t="str">
        <f>IF(AM41="","—",IF(AM41&lt;'⚙ Parámetros'!B29,"🟢 Corto",IF(AM41&lt;'⚙ Parámetros'!B30,"🟡 Medio","🔴 Largo")))</f>
        <v>🔴 Largo</v>
      </c>
    </row>
    <row r="42" spans="1:40" ht="18.75" customHeight="1" x14ac:dyDescent="0.25">
      <c r="A42" s="69">
        <v>38</v>
      </c>
      <c r="B42" s="30" t="s">
        <v>213</v>
      </c>
      <c r="C42" s="26" t="s">
        <v>138</v>
      </c>
      <c r="D42" s="71" t="s">
        <v>167</v>
      </c>
      <c r="E42" s="72" t="s">
        <v>214</v>
      </c>
      <c r="F42" s="74">
        <v>8</v>
      </c>
      <c r="G42" s="74">
        <v>1</v>
      </c>
      <c r="H42" s="74">
        <v>1</v>
      </c>
      <c r="I42" s="74">
        <v>8</v>
      </c>
      <c r="J42" s="74">
        <v>1</v>
      </c>
      <c r="K42" s="74">
        <v>1</v>
      </c>
      <c r="L42" s="75">
        <v>8</v>
      </c>
      <c r="M42" s="86">
        <v>3</v>
      </c>
      <c r="N42" s="74">
        <v>1</v>
      </c>
      <c r="O42" s="74">
        <v>1</v>
      </c>
      <c r="P42" s="74">
        <v>1</v>
      </c>
      <c r="Q42" s="74">
        <v>1</v>
      </c>
      <c r="R42" s="86">
        <v>5</v>
      </c>
      <c r="S42" s="86">
        <v>5</v>
      </c>
      <c r="T42" s="86">
        <v>5</v>
      </c>
      <c r="U42" s="76">
        <v>8</v>
      </c>
      <c r="V42" s="86">
        <v>5</v>
      </c>
      <c r="W42" s="86">
        <v>6</v>
      </c>
      <c r="X42" s="86">
        <v>6</v>
      </c>
      <c r="Y42" s="86">
        <v>4</v>
      </c>
      <c r="Z42" s="74">
        <v>2</v>
      </c>
      <c r="AA42" s="86">
        <v>5</v>
      </c>
      <c r="AB42" s="89">
        <f>IFERROR((30/100*MAX('⚙ Parámetros'!D15/(1+2^(-'⚙ Parámetros'!C15*(F42-'⚙ Parámetros'!B15))),'⚙ Parámetros'!G15/(1+2^(-'⚙ Parámetros'!F15*(F42-'⚙ Parámetros'!E15))),1)*F42+30/100*MAX('⚙ Parámetros'!D15/(1+2^(-'⚙ Parámetros'!C15*(G42-'⚙ Parámetros'!B15))),'⚙ Parámetros'!G15/(1+2^(-'⚙ Parámetros'!F15*(G42-'⚙ Parámetros'!E15))),1)*G42+20/100*MAX('⚙ Parámetros'!D15/(1+2^(-'⚙ Parámetros'!C15*(H42-'⚙ Parámetros'!B15))),'⚙ Parámetros'!G15/(1+2^(-'⚙ Parámetros'!F15*(H42-'⚙ Parámetros'!E15))),1)*H42+20/100*MAX('⚙ Parámetros'!D15/(1+2^(-'⚙ Parámetros'!C15*(I42-'⚙ Parámetros'!B15))),'⚙ Parámetros'!G15/(1+2^(-'⚙ Parámetros'!F15*(I42-'⚙ Parámetros'!E15))),1)*I42)/(30/100*MAX('⚙ Parámetros'!D15/(1+2^(-'⚙ Parámetros'!C15*(F42-'⚙ Parámetros'!B15))),'⚙ Parámetros'!G15/(1+2^(-'⚙ Parámetros'!F15*(F42-'⚙ Parámetros'!E15))),1)+30/100*MAX('⚙ Parámetros'!D15/(1+2^(-'⚙ Parámetros'!C15*(G42-'⚙ Parámetros'!B15))),'⚙ Parámetros'!G15/(1+2^(-'⚙ Parámetros'!F15*(G42-'⚙ Parámetros'!E15))),1)+20/100*MAX('⚙ Parámetros'!D15/(1+2^(-'⚙ Parámetros'!C15*(H42-'⚙ Parámetros'!B15))),'⚙ Parámetros'!G15/(1+2^(-'⚙ Parámetros'!F15*(H42-'⚙ Parámetros'!E15))),1)+20/100*MAX('⚙ Parámetros'!D15/(1+2^(-'⚙ Parámetros'!C15*(I42-'⚙ Parámetros'!B15))),'⚙ Parámetros'!G15/(1+2^(-'⚙ Parámetros'!F15*(I42-'⚙ Parámetros'!E15))),1)),0)</f>
        <v>7.1463414634146343</v>
      </c>
      <c r="AC42" s="89">
        <f>IFERROR((35/100*MAX('⚙ Parámetros'!D16/(1+2^(-'⚙ Parámetros'!C16*(J42-'⚙ Parámetros'!B16))),'⚙ Parámetros'!G16/(1+2^(-'⚙ Parámetros'!F16*(J42-'⚙ Parámetros'!E16))),1)*J42+25/100*MAX('⚙ Parámetros'!D16/(1+2^(-'⚙ Parámetros'!C16*(K42-'⚙ Parámetros'!B16))),'⚙ Parámetros'!G16/(1+2^(-'⚙ Parámetros'!F16*(K42-'⚙ Parámetros'!E16))),1)*K42+20/100*MAX('⚙ Parámetros'!D16/(1+2^(-'⚙ Parámetros'!C16*(L42-'⚙ Parámetros'!B16))),'⚙ Parámetros'!G16/(1+2^(-'⚙ Parámetros'!F16*(L42-'⚙ Parámetros'!E16))),1)*L42+20/100*MAX('⚙ Parámetros'!D16/(1+2^(-'⚙ Parámetros'!C16*(M42-'⚙ Parámetros'!B16))),'⚙ Parámetros'!G16/(1+2^(-'⚙ Parámetros'!F16*(M42-'⚙ Parámetros'!E16))),1)*M42)/(35/100*MAX('⚙ Parámetros'!D16/(1+2^(-'⚙ Parámetros'!C16*(J42-'⚙ Parámetros'!B16))),'⚙ Parámetros'!G16/(1+2^(-'⚙ Parámetros'!F16*(J42-'⚙ Parámetros'!E16))),1)+25/100*MAX('⚙ Parámetros'!D16/(1+2^(-'⚙ Parámetros'!C16*(K42-'⚙ Parámetros'!B16))),'⚙ Parámetros'!G16/(1+2^(-'⚙ Parámetros'!F16*(K42-'⚙ Parámetros'!E16))),1)+20/100*MAX('⚙ Parámetros'!D16/(1+2^(-'⚙ Parámetros'!C16*(L42-'⚙ Parámetros'!B16))),'⚙ Parámetros'!G16/(1+2^(-'⚙ Parámetros'!F16*(L42-'⚙ Parámetros'!E16))),1)+20/100*MAX('⚙ Parámetros'!D16/(1+2^(-'⚙ Parámetros'!C16*(M42-'⚙ Parámetros'!B16))),'⚙ Parámetros'!G16/(1+2^(-'⚙ Parámetros'!F16*(M42-'⚙ Parámetros'!E16))),1)),0)</f>
        <v>4.9411764705882355</v>
      </c>
      <c r="AD42" s="89">
        <f>IFERROR((30/100*MAX('⚙ Parámetros'!D17/(1+2^(-'⚙ Parámetros'!C17*(N42-'⚙ Parámetros'!B17))),'⚙ Parámetros'!G17/(1+2^(-'⚙ Parámetros'!F17*(N42-'⚙ Parámetros'!E17))),1)*N42+25/100*MAX('⚙ Parámetros'!D17/(1+2^(-'⚙ Parámetros'!C17*(O42-'⚙ Parámetros'!B17))),'⚙ Parámetros'!G17/(1+2^(-'⚙ Parámetros'!F17*(O42-'⚙ Parámetros'!E17))),1)*O42+25/100*MAX('⚙ Parámetros'!D17/(1+2^(-'⚙ Parámetros'!C17*(P42-'⚙ Parámetros'!B17))),'⚙ Parámetros'!G17/(1+2^(-'⚙ Parámetros'!F17*(P42-'⚙ Parámetros'!E17))),1)*P42+20/100*MAX('⚙ Parámetros'!D17/(1+2^(-'⚙ Parámetros'!C17*(Q42-'⚙ Parámetros'!B17))),'⚙ Parámetros'!G17/(1+2^(-'⚙ Parámetros'!F17*(Q42-'⚙ Parámetros'!E17))),1)*Q42)/(30/100*MAX('⚙ Parámetros'!D17/(1+2^(-'⚙ Parámetros'!C17*(N42-'⚙ Parámetros'!B17))),'⚙ Parámetros'!G17/(1+2^(-'⚙ Parámetros'!F17*(N42-'⚙ Parámetros'!E17))),1)+25/100*MAX('⚙ Parámetros'!D17/(1+2^(-'⚙ Parámetros'!C17*(O42-'⚙ Parámetros'!B17))),'⚙ Parámetros'!G17/(1+2^(-'⚙ Parámetros'!F17*(O42-'⚙ Parámetros'!E17))),1)+25/100*MAX('⚙ Parámetros'!D17/(1+2^(-'⚙ Parámetros'!C17*(P42-'⚙ Parámetros'!B17))),'⚙ Parámetros'!G17/(1+2^(-'⚙ Parámetros'!F17*(P42-'⚙ Parámetros'!E17))),1)+20/100*MAX('⚙ Parámetros'!D17/(1+2^(-'⚙ Parámetros'!C17*(Q42-'⚙ Parámetros'!B17))),'⚙ Parámetros'!G17/(1+2^(-'⚙ Parámetros'!F17*(Q42-'⚙ Parámetros'!E17))),1)),0)</f>
        <v>1</v>
      </c>
      <c r="AE42" s="89">
        <f>IFERROR((30/100*MAX('⚙ Parámetros'!D18/(1+2^(-'⚙ Parámetros'!C18*(R42-'⚙ Parámetros'!B18))),'⚙ Parámetros'!G18/(1+2^(-'⚙ Parámetros'!F18*(R42-'⚙ Parámetros'!E18))),1)*R42+30/100*MAX('⚙ Parámetros'!D18/(1+2^(-'⚙ Parámetros'!C18*(S42-'⚙ Parámetros'!B18))),'⚙ Parámetros'!G18/(1+2^(-'⚙ Parámetros'!F18*(S42-'⚙ Parámetros'!E18))),1)*S42+20/100*MAX('⚙ Parámetros'!D18/(1+2^(-'⚙ Parámetros'!C18*(T42-'⚙ Parámetros'!B18))),'⚙ Parámetros'!G18/(1+2^(-'⚙ Parámetros'!F18*(T42-'⚙ Parámetros'!E18))),1)*T42+20/100*MAX('⚙ Parámetros'!D18/(1+2^(-'⚙ Parámetros'!C18*(U42-'⚙ Parámetros'!B18))),'⚙ Parámetros'!G18/(1+2^(-'⚙ Parámetros'!F18*(U42-'⚙ Parámetros'!E18))),1)*U42)/(30/100*MAX('⚙ Parámetros'!D18/(1+2^(-'⚙ Parámetros'!C18*(R42-'⚙ Parámetros'!B18))),'⚙ Parámetros'!G18/(1+2^(-'⚙ Parámetros'!F18*(R42-'⚙ Parámetros'!E18))),1)+30/100*MAX('⚙ Parámetros'!D18/(1+2^(-'⚙ Parámetros'!C18*(S42-'⚙ Parámetros'!B18))),'⚙ Parámetros'!G18/(1+2^(-'⚙ Parámetros'!F18*(S42-'⚙ Parámetros'!E18))),1)+20/100*MAX('⚙ Parámetros'!D18/(1+2^(-'⚙ Parámetros'!C18*(T42-'⚙ Parámetros'!B18))),'⚙ Parámetros'!G18/(1+2^(-'⚙ Parámetros'!F18*(T42-'⚙ Parámetros'!E18))),1)+20/100*MAX('⚙ Parámetros'!D18/(1+2^(-'⚙ Parámetros'!C18*(U42-'⚙ Parámetros'!B18))),'⚙ Parámetros'!G18/(1+2^(-'⚙ Parámetros'!F18*(U42-'⚙ Parámetros'!E18))),1)),0)</f>
        <v>5.9130434782608692</v>
      </c>
      <c r="AF42" s="89">
        <f>IFERROR((30/100*MAX('⚙ Parámetros'!D19/(1+2^(-'⚙ Parámetros'!C19*(V42-'⚙ Parámetros'!B19))),'⚙ Parámetros'!G19/(1+2^(-'⚙ Parámetros'!F19*(V42-'⚙ Parámetros'!E19))),1)*V42+35/100*MAX('⚙ Parámetros'!D19/(1+2^(-'⚙ Parámetros'!C19*(W42-'⚙ Parámetros'!B19))),'⚙ Parámetros'!G19/(1+2^(-'⚙ Parámetros'!F19*(W42-'⚙ Parámetros'!E19))),1)*W42+35/100*MAX('⚙ Parámetros'!D19/(1+2^(-'⚙ Parámetros'!C19*(X42-'⚙ Parámetros'!B19))),'⚙ Parámetros'!G19/(1+2^(-'⚙ Parámetros'!F19*(X42-'⚙ Parámetros'!E19))),1)*X42)/(30/100*MAX('⚙ Parámetros'!D19/(1+2^(-'⚙ Parámetros'!C19*(V42-'⚙ Parámetros'!B19))),'⚙ Parámetros'!G19/(1+2^(-'⚙ Parámetros'!F19*(V42-'⚙ Parámetros'!E19))),1)+35/100*MAX('⚙ Parámetros'!D19/(1+2^(-'⚙ Parámetros'!C19*(W42-'⚙ Parámetros'!B19))),'⚙ Parámetros'!G19/(1+2^(-'⚙ Parámetros'!F19*(W42-'⚙ Parámetros'!E19))),1)+35/100*MAX('⚙ Parámetros'!D19/(1+2^(-'⚙ Parámetros'!C19*(X42-'⚙ Parámetros'!B19))),'⚙ Parámetros'!G19/(1+2^(-'⚙ Parámetros'!F19*(X42-'⚙ Parámetros'!E19))),1)),0)</f>
        <v>5.7368421052631575</v>
      </c>
      <c r="AG42" s="89">
        <f>IFERROR((35/100*MAX('⚙ Parámetros'!D20/(1+2^(-'⚙ Parámetros'!C20*(Y42-'⚙ Parámetros'!B20))),'⚙ Parámetros'!G20/(1+2^(-'⚙ Parámetros'!F20*(Y42-'⚙ Parámetros'!E20))),1)*Y42+35/100*MAX('⚙ Parámetros'!D20/(1+2^(-'⚙ Parámetros'!C20*(Z42-'⚙ Parámetros'!B20))),'⚙ Parámetros'!G20/(1+2^(-'⚙ Parámetros'!F20*(Z42-'⚙ Parámetros'!E20))),1)*Z42+30/100*MAX('⚙ Parámetros'!D20/(1+2^(-'⚙ Parámetros'!C20*(AA42-'⚙ Parámetros'!B20))),'⚙ Parámetros'!G20/(1+2^(-'⚙ Parámetros'!F20*(AA42-'⚙ Parámetros'!E20))),1)*AA42)/(35/100*MAX('⚙ Parámetros'!D20/(1+2^(-'⚙ Parámetros'!C20*(Y42-'⚙ Parámetros'!B20))),'⚙ Parámetros'!G20/(1+2^(-'⚙ Parámetros'!F20*(Y42-'⚙ Parámetros'!E20))),1)+35/100*MAX('⚙ Parámetros'!D20/(1+2^(-'⚙ Parámetros'!C20*(Z42-'⚙ Parámetros'!B20))),'⚙ Parámetros'!G20/(1+2^(-'⚙ Parámetros'!F20*(Z42-'⚙ Parámetros'!E20))),1)+30/100*MAX('⚙ Parámetros'!D20/(1+2^(-'⚙ Parámetros'!C20*(AA42-'⚙ Parámetros'!B20))),'⚙ Parámetros'!G20/(1+2^(-'⚙ Parámetros'!F20*(AA42-'⚙ Parámetros'!E20))),1)),0)</f>
        <v>3.7272727272727275</v>
      </c>
      <c r="AH42" s="90">
        <f>('⚙ Parámetros'!B5/100*AB42+'⚙ Parámetros'!B6/100*AC42+'⚙ Parámetros'!B7/100*AD42+'⚙ Parámetros'!B8/100*AE42+'⚙ Parámetros'!B9/100*AF42+'⚙ Parámetros'!B10/100*AG42)</f>
        <v>4.9135689792414752</v>
      </c>
      <c r="AI42" s="91">
        <f ca="1">MIN(1+MAX(0,TODAY()-DATE(2026,5,20))/365*'⚙ Parámetros'!B33,'⚙ Parámetros'!B34)</f>
        <v>1.0094520547945205</v>
      </c>
      <c r="AJ42" s="82">
        <f t="shared" ca="1" si="2"/>
        <v>4.9600123024699219</v>
      </c>
      <c r="AK42" s="92" t="str">
        <f ca="1">IF(AB42&gt;='⚙ Parámetros'!B23,"⚑ AUTO-PRIOR.(D1≥8)",IF(AJ42&gt;='⚙ Parámetros'!B23,"PRIORITARIO",IF(AJ42&gt;='⚙ Parámetros'!B24,"ALTA PRIORIDAD",IF(AJ42&gt;='⚙ Parámetros'!B25,"PRIORIDAD MEDIA",IF(AJ42&gt;='⚙ Parámetros'!B26,"BAJA PRIORIDAD","DESCARTAR")))))</f>
        <v>BAJA PRIORIDAD</v>
      </c>
      <c r="AL42" s="69" t="str">
        <f t="shared" si="3"/>
        <v>—</v>
      </c>
      <c r="AM42" s="85">
        <v>33</v>
      </c>
      <c r="AN42" s="83" t="str">
        <f>IF(AM42="","—",IF(AM42&lt;'⚙ Parámetros'!B29,"🟢 Corto",IF(AM42&lt;'⚙ Parámetros'!B30,"🟡 Medio","🔴 Largo")))</f>
        <v>🟡 Medio</v>
      </c>
    </row>
    <row r="43" spans="1:40" ht="18.75" customHeight="1" x14ac:dyDescent="0.25">
      <c r="A43" s="69">
        <v>39</v>
      </c>
      <c r="B43" s="70" t="s">
        <v>215</v>
      </c>
      <c r="C43" s="4" t="s">
        <v>138</v>
      </c>
      <c r="D43" s="71" t="s">
        <v>167</v>
      </c>
      <c r="E43" s="72" t="s">
        <v>216</v>
      </c>
      <c r="F43" s="74">
        <v>1</v>
      </c>
      <c r="G43" s="74">
        <v>1</v>
      </c>
      <c r="H43" s="73">
        <v>5</v>
      </c>
      <c r="I43" s="74">
        <v>1</v>
      </c>
      <c r="J43" s="74">
        <v>1</v>
      </c>
      <c r="K43" s="74">
        <v>1</v>
      </c>
      <c r="L43" s="75">
        <v>8</v>
      </c>
      <c r="M43" s="73">
        <v>3</v>
      </c>
      <c r="N43" s="73">
        <v>7</v>
      </c>
      <c r="O43" s="87">
        <v>8</v>
      </c>
      <c r="P43" s="74">
        <v>1</v>
      </c>
      <c r="Q43" s="73">
        <v>6</v>
      </c>
      <c r="R43" s="76">
        <v>9</v>
      </c>
      <c r="S43" s="76">
        <v>9</v>
      </c>
      <c r="T43" s="73">
        <v>5</v>
      </c>
      <c r="U43" s="73">
        <v>5</v>
      </c>
      <c r="V43" s="77">
        <v>8</v>
      </c>
      <c r="W43" s="73">
        <v>4</v>
      </c>
      <c r="X43" s="73">
        <v>5</v>
      </c>
      <c r="Y43" s="73">
        <v>4</v>
      </c>
      <c r="Z43" s="74">
        <v>2</v>
      </c>
      <c r="AA43" s="73">
        <v>5</v>
      </c>
      <c r="AB43" s="80">
        <f>IFERROR((30/100*MAX('⚙ Parámetros'!D15/(1+2^(-'⚙ Parámetros'!C15*(F43-'⚙ Parámetros'!B15))),'⚙ Parámetros'!G15/(1+2^(-'⚙ Parámetros'!F15*(F43-'⚙ Parámetros'!E15))),1)*F43+30/100*MAX('⚙ Parámetros'!D15/(1+2^(-'⚙ Parámetros'!C15*(G43-'⚙ Parámetros'!B15))),'⚙ Parámetros'!G15/(1+2^(-'⚙ Parámetros'!F15*(G43-'⚙ Parámetros'!E15))),1)*G43+20/100*MAX('⚙ Parámetros'!D15/(1+2^(-'⚙ Parámetros'!C15*(H43-'⚙ Parámetros'!B15))),'⚙ Parámetros'!G15/(1+2^(-'⚙ Parámetros'!F15*(H43-'⚙ Parámetros'!E15))),1)*H43+20/100*MAX('⚙ Parámetros'!D15/(1+2^(-'⚙ Parámetros'!C15*(I43-'⚙ Parámetros'!B15))),'⚙ Parámetros'!G15/(1+2^(-'⚙ Parámetros'!F15*(I43-'⚙ Parámetros'!E15))),1)*I43)/(30/100*MAX('⚙ Parámetros'!D15/(1+2^(-'⚙ Parámetros'!C15*(F43-'⚙ Parámetros'!B15))),'⚙ Parámetros'!G15/(1+2^(-'⚙ Parámetros'!F15*(F43-'⚙ Parámetros'!E15))),1)+30/100*MAX('⚙ Parámetros'!D15/(1+2^(-'⚙ Parámetros'!C15*(G43-'⚙ Parámetros'!B15))),'⚙ Parámetros'!G15/(1+2^(-'⚙ Parámetros'!F15*(G43-'⚙ Parámetros'!E15))),1)+20/100*MAX('⚙ Parámetros'!D15/(1+2^(-'⚙ Parámetros'!C15*(H43-'⚙ Parámetros'!B15))),'⚙ Parámetros'!G15/(1+2^(-'⚙ Parámetros'!F15*(H43-'⚙ Parámetros'!E15))),1)+20/100*MAX('⚙ Parámetros'!D15/(1+2^(-'⚙ Parámetros'!C15*(I43-'⚙ Parámetros'!B15))),'⚙ Parámetros'!G15/(1+2^(-'⚙ Parámetros'!F15*(I43-'⚙ Parámetros'!E15))),1)),0)</f>
        <v>2.1428571428571428</v>
      </c>
      <c r="AC43" s="80">
        <f>IFERROR((35/100*MAX('⚙ Parámetros'!D16/(1+2^(-'⚙ Parámetros'!C16*(J43-'⚙ Parámetros'!B16))),'⚙ Parámetros'!G16/(1+2^(-'⚙ Parámetros'!F16*(J43-'⚙ Parámetros'!E16))),1)*J43+25/100*MAX('⚙ Parámetros'!D16/(1+2^(-'⚙ Parámetros'!C16*(K43-'⚙ Parámetros'!B16))),'⚙ Parámetros'!G16/(1+2^(-'⚙ Parámetros'!F16*(K43-'⚙ Parámetros'!E16))),1)*K43+20/100*MAX('⚙ Parámetros'!D16/(1+2^(-'⚙ Parámetros'!C16*(L43-'⚙ Parámetros'!B16))),'⚙ Parámetros'!G16/(1+2^(-'⚙ Parámetros'!F16*(L43-'⚙ Parámetros'!E16))),1)*L43+20/100*MAX('⚙ Parámetros'!D16/(1+2^(-'⚙ Parámetros'!C16*(M43-'⚙ Parámetros'!B16))),'⚙ Parámetros'!G16/(1+2^(-'⚙ Parámetros'!F16*(M43-'⚙ Parámetros'!E16))),1)*M43)/(35/100*MAX('⚙ Parámetros'!D16/(1+2^(-'⚙ Parámetros'!C16*(J43-'⚙ Parámetros'!B16))),'⚙ Parámetros'!G16/(1+2^(-'⚙ Parámetros'!F16*(J43-'⚙ Parámetros'!E16))),1)+25/100*MAX('⚙ Parámetros'!D16/(1+2^(-'⚙ Parámetros'!C16*(K43-'⚙ Parámetros'!B16))),'⚙ Parámetros'!G16/(1+2^(-'⚙ Parámetros'!F16*(K43-'⚙ Parámetros'!E16))),1)+20/100*MAX('⚙ Parámetros'!D16/(1+2^(-'⚙ Parámetros'!C16*(L43-'⚙ Parámetros'!B16))),'⚙ Parámetros'!G16/(1+2^(-'⚙ Parámetros'!F16*(L43-'⚙ Parámetros'!E16))),1)+20/100*MAX('⚙ Parámetros'!D16/(1+2^(-'⚙ Parámetros'!C16*(M43-'⚙ Parámetros'!B16))),'⚙ Parámetros'!G16/(1+2^(-'⚙ Parámetros'!F16*(M43-'⚙ Parámetros'!E16))),1)),0)</f>
        <v>4.9411764705882355</v>
      </c>
      <c r="AD43" s="80">
        <f>IFERROR((30/100*MAX('⚙ Parámetros'!D17/(1+2^(-'⚙ Parámetros'!C17*(N43-'⚙ Parámetros'!B17))),'⚙ Parámetros'!G17/(1+2^(-'⚙ Parámetros'!F17*(N43-'⚙ Parámetros'!E17))),1)*N43+25/100*MAX('⚙ Parámetros'!D17/(1+2^(-'⚙ Parámetros'!C17*(O43-'⚙ Parámetros'!B17))),'⚙ Parámetros'!G17/(1+2^(-'⚙ Parámetros'!F17*(O43-'⚙ Parámetros'!E17))),1)*O43+25/100*MAX('⚙ Parámetros'!D17/(1+2^(-'⚙ Parámetros'!C17*(P43-'⚙ Parámetros'!B17))),'⚙ Parámetros'!G17/(1+2^(-'⚙ Parámetros'!F17*(P43-'⚙ Parámetros'!E17))),1)*P43+20/100*MAX('⚙ Parámetros'!D17/(1+2^(-'⚙ Parámetros'!C17*(Q43-'⚙ Parámetros'!B17))),'⚙ Parámetros'!G17/(1+2^(-'⚙ Parámetros'!F17*(Q43-'⚙ Parámetros'!E17))),1)*Q43)/(30/100*MAX('⚙ Parámetros'!D17/(1+2^(-'⚙ Parámetros'!C17*(N43-'⚙ Parámetros'!B17))),'⚙ Parámetros'!G17/(1+2^(-'⚙ Parámetros'!F17*(N43-'⚙ Parámetros'!E17))),1)+25/100*MAX('⚙ Parámetros'!D17/(1+2^(-'⚙ Parámetros'!C17*(O43-'⚙ Parámetros'!B17))),'⚙ Parámetros'!G17/(1+2^(-'⚙ Parámetros'!F17*(O43-'⚙ Parámetros'!E17))),1)+25/100*MAX('⚙ Parámetros'!D17/(1+2^(-'⚙ Parámetros'!C17*(P43-'⚙ Parámetros'!B17))),'⚙ Parámetros'!G17/(1+2^(-'⚙ Parámetros'!F17*(P43-'⚙ Parámetros'!E17))),1)+20/100*MAX('⚙ Parámetros'!D17/(1+2^(-'⚙ Parámetros'!C17*(Q43-'⚙ Parámetros'!B17))),'⚙ Parámetros'!G17/(1+2^(-'⚙ Parámetros'!F17*(Q43-'⚙ Parámetros'!E17))),1)),0)</f>
        <v>6.612648221343874</v>
      </c>
      <c r="AE43" s="80">
        <f>IFERROR((30/100*MAX('⚙ Parámetros'!D18/(1+2^(-'⚙ Parámetros'!C18*(R43-'⚙ Parámetros'!B18))),'⚙ Parámetros'!G18/(1+2^(-'⚙ Parámetros'!F18*(R43-'⚙ Parámetros'!E18))),1)*R43+30/100*MAX('⚙ Parámetros'!D18/(1+2^(-'⚙ Parámetros'!C18*(S43-'⚙ Parámetros'!B18))),'⚙ Parámetros'!G18/(1+2^(-'⚙ Parámetros'!F18*(S43-'⚙ Parámetros'!E18))),1)*S43+20/100*MAX('⚙ Parámetros'!D18/(1+2^(-'⚙ Parámetros'!C18*(T43-'⚙ Parámetros'!B18))),'⚙ Parámetros'!G18/(1+2^(-'⚙ Parámetros'!F18*(T43-'⚙ Parámetros'!E18))),1)*T43+20/100*MAX('⚙ Parámetros'!D18/(1+2^(-'⚙ Parámetros'!C18*(U43-'⚙ Parámetros'!B18))),'⚙ Parámetros'!G18/(1+2^(-'⚙ Parámetros'!F18*(U43-'⚙ Parámetros'!E18))),1)*U43)/(30/100*MAX('⚙ Parámetros'!D18/(1+2^(-'⚙ Parámetros'!C18*(R43-'⚙ Parámetros'!B18))),'⚙ Parámetros'!G18/(1+2^(-'⚙ Parámetros'!F18*(R43-'⚙ Parámetros'!E18))),1)+30/100*MAX('⚙ Parámetros'!D18/(1+2^(-'⚙ Parámetros'!C18*(S43-'⚙ Parámetros'!B18))),'⚙ Parámetros'!G18/(1+2^(-'⚙ Parámetros'!F18*(S43-'⚙ Parámetros'!E18))),1)+20/100*MAX('⚙ Parámetros'!D18/(1+2^(-'⚙ Parámetros'!C18*(T43-'⚙ Parámetros'!B18))),'⚙ Parámetros'!G18/(1+2^(-'⚙ Parámetros'!F18*(T43-'⚙ Parámetros'!E18))),1)+20/100*MAX('⚙ Parámetros'!D18/(1+2^(-'⚙ Parámetros'!C18*(U43-'⚙ Parámetros'!B18))),'⚙ Parámetros'!G18/(1+2^(-'⚙ Parámetros'!F18*(U43-'⚙ Parámetros'!E18))),1)),0)</f>
        <v>8.1801060365339655</v>
      </c>
      <c r="AF43" s="80">
        <f>IFERROR((30/100*MAX('⚙ Parámetros'!D19/(1+2^(-'⚙ Parámetros'!C19*(V43-'⚙ Parámetros'!B19))),'⚙ Parámetros'!G19/(1+2^(-'⚙ Parámetros'!F19*(V43-'⚙ Parámetros'!E19))),1)*V43+35/100*MAX('⚙ Parámetros'!D19/(1+2^(-'⚙ Parámetros'!C19*(W43-'⚙ Parámetros'!B19))),'⚙ Parámetros'!G19/(1+2^(-'⚙ Parámetros'!F19*(W43-'⚙ Parámetros'!E19))),1)*W43+35/100*MAX('⚙ Parámetros'!D19/(1+2^(-'⚙ Parámetros'!C19*(X43-'⚙ Parámetros'!B19))),'⚙ Parámetros'!G19/(1+2^(-'⚙ Parámetros'!F19*(X43-'⚙ Parámetros'!E19))),1)*X43)/(30/100*MAX('⚙ Parámetros'!D19/(1+2^(-'⚙ Parámetros'!C19*(V43-'⚙ Parámetros'!B19))),'⚙ Parámetros'!G19/(1+2^(-'⚙ Parámetros'!F19*(V43-'⚙ Parámetros'!E19))),1)+35/100*MAX('⚙ Parámetros'!D19/(1+2^(-'⚙ Parámetros'!C19*(W43-'⚙ Parámetros'!B19))),'⚙ Parámetros'!G19/(1+2^(-'⚙ Parámetros'!F19*(W43-'⚙ Parámetros'!E19))),1)+35/100*MAX('⚙ Parámetros'!D19/(1+2^(-'⚙ Parámetros'!C19*(X43-'⚙ Parámetros'!B19))),'⚙ Parámetros'!G19/(1+2^(-'⚙ Parámetros'!F19*(X43-'⚙ Parámetros'!E19))),1)),0)</f>
        <v>6.1538461538461542</v>
      </c>
      <c r="AG43" s="80">
        <f>IFERROR((35/100*MAX('⚙ Parámetros'!D20/(1+2^(-'⚙ Parámetros'!C20*(Y43-'⚙ Parámetros'!B20))),'⚙ Parámetros'!G20/(1+2^(-'⚙ Parámetros'!F20*(Y43-'⚙ Parámetros'!E20))),1)*Y43+35/100*MAX('⚙ Parámetros'!D20/(1+2^(-'⚙ Parámetros'!C20*(Z43-'⚙ Parámetros'!B20))),'⚙ Parámetros'!G20/(1+2^(-'⚙ Parámetros'!F20*(Z43-'⚙ Parámetros'!E20))),1)*Z43+30/100*MAX('⚙ Parámetros'!D20/(1+2^(-'⚙ Parámetros'!C20*(AA43-'⚙ Parámetros'!B20))),'⚙ Parámetros'!G20/(1+2^(-'⚙ Parámetros'!F20*(AA43-'⚙ Parámetros'!E20))),1)*AA43)/(35/100*MAX('⚙ Parámetros'!D20/(1+2^(-'⚙ Parámetros'!C20*(Y43-'⚙ Parámetros'!B20))),'⚙ Parámetros'!G20/(1+2^(-'⚙ Parámetros'!F20*(Y43-'⚙ Parámetros'!E20))),1)+35/100*MAX('⚙ Parámetros'!D20/(1+2^(-'⚙ Parámetros'!C20*(Z43-'⚙ Parámetros'!B20))),'⚙ Parámetros'!G20/(1+2^(-'⚙ Parámetros'!F20*(Z43-'⚙ Parámetros'!E20))),1)+30/100*MAX('⚙ Parámetros'!D20/(1+2^(-'⚙ Parámetros'!C20*(AA43-'⚙ Parámetros'!B20))),'⚙ Parámetros'!G20/(1+2^(-'⚙ Parámetros'!F20*(AA43-'⚙ Parámetros'!E20))),1)),0)</f>
        <v>3.7272727272727275</v>
      </c>
      <c r="AH43" s="81">
        <f>('⚙ Parámetros'!B5/100*AB43+'⚙ Parámetros'!B6/100*AC43+'⚙ Parámetros'!B7/100*AD43+'⚙ Parámetros'!B8/100*AE43+'⚙ Parámetros'!B9/100*AF43+'⚙ Parámetros'!B10/100*AG43)</f>
        <v>4.8488012391940742</v>
      </c>
      <c r="AI43" s="33">
        <f ca="1">MIN(1+MAX(0,TODAY()-DATE(2026,2,18))/365*'⚙ Parámetros'!B33,'⚙ Parámetros'!B34)</f>
        <v>1.0468493150684932</v>
      </c>
      <c r="AJ43" s="82">
        <f t="shared" ca="1" si="2"/>
        <v>5.0759642561535774</v>
      </c>
      <c r="AK43" s="83" t="str">
        <f ca="1">IF(AB43&gt;='⚙ Parámetros'!B23,"⚑ AUTO-PRIOR.(D1≥8)",IF(AJ43&gt;='⚙ Parámetros'!B23,"PRIORITARIO",IF(AJ43&gt;='⚙ Parámetros'!B24,"ALTA PRIORIDAD",IF(AJ43&gt;='⚙ Parámetros'!B25,"PRIORIDAD MEDIA",IF(AJ43&gt;='⚙ Parámetros'!B26,"BAJA PRIORIDAD","DESCARTAR")))))</f>
        <v>BAJA PRIORIDAD</v>
      </c>
      <c r="AL43" s="84" t="str">
        <f t="shared" si="3"/>
        <v>—</v>
      </c>
      <c r="AM43" s="85">
        <v>13</v>
      </c>
      <c r="AN43" s="83" t="str">
        <f>IF(AM43="","—",IF(AM43&lt;'⚙ Parámetros'!B29,"🟢 Corto",IF(AM43&lt;'⚙ Parámetros'!B30,"🟡 Medio","🔴 Largo")))</f>
        <v>🟢 Corto</v>
      </c>
    </row>
    <row r="44" spans="1:40" ht="18.75" customHeight="1" x14ac:dyDescent="0.25">
      <c r="A44" s="69">
        <v>40</v>
      </c>
      <c r="B44" s="30" t="s">
        <v>217</v>
      </c>
      <c r="C44" s="26" t="s">
        <v>142</v>
      </c>
      <c r="D44" s="71" t="s">
        <v>167</v>
      </c>
      <c r="E44" s="72" t="s">
        <v>218</v>
      </c>
      <c r="F44" s="86">
        <v>6</v>
      </c>
      <c r="G44" s="74">
        <v>1</v>
      </c>
      <c r="H44" s="74">
        <v>1</v>
      </c>
      <c r="I44" s="74">
        <v>1</v>
      </c>
      <c r="J44" s="74">
        <v>1</v>
      </c>
      <c r="K44" s="74">
        <v>1</v>
      </c>
      <c r="L44" s="75">
        <v>8</v>
      </c>
      <c r="M44" s="86">
        <v>3</v>
      </c>
      <c r="N44" s="86">
        <v>7</v>
      </c>
      <c r="O44" s="74">
        <v>1</v>
      </c>
      <c r="P44" s="74">
        <v>1</v>
      </c>
      <c r="Q44" s="87">
        <v>8</v>
      </c>
      <c r="R44" s="86">
        <v>5</v>
      </c>
      <c r="S44" s="86">
        <v>5</v>
      </c>
      <c r="T44" s="86">
        <v>5</v>
      </c>
      <c r="U44" s="86">
        <v>5</v>
      </c>
      <c r="V44" s="77">
        <v>8</v>
      </c>
      <c r="W44" s="86">
        <v>6</v>
      </c>
      <c r="X44" s="77">
        <v>9</v>
      </c>
      <c r="Y44" s="86">
        <v>4</v>
      </c>
      <c r="Z44" s="74">
        <v>2</v>
      </c>
      <c r="AA44" s="86">
        <v>5</v>
      </c>
      <c r="AB44" s="89">
        <f>IFERROR((30/100*MAX('⚙ Parámetros'!D15/(1+2^(-'⚙ Parámetros'!C15*(F44-'⚙ Parámetros'!B15))),'⚙ Parámetros'!G15/(1+2^(-'⚙ Parámetros'!F15*(F44-'⚙ Parámetros'!E15))),1)*F44+30/100*MAX('⚙ Parámetros'!D15/(1+2^(-'⚙ Parámetros'!C15*(G44-'⚙ Parámetros'!B15))),'⚙ Parámetros'!G15/(1+2^(-'⚙ Parámetros'!F15*(G44-'⚙ Parámetros'!E15))),1)*G44+20/100*MAX('⚙ Parámetros'!D15/(1+2^(-'⚙ Parámetros'!C15*(H44-'⚙ Parámetros'!B15))),'⚙ Parámetros'!G15/(1+2^(-'⚙ Parámetros'!F15*(H44-'⚙ Parámetros'!E15))),1)*H44+20/100*MAX('⚙ Parámetros'!D15/(1+2^(-'⚙ Parámetros'!C15*(I44-'⚙ Parámetros'!B15))),'⚙ Parámetros'!G15/(1+2^(-'⚙ Parámetros'!F15*(I44-'⚙ Parámetros'!E15))),1)*I44)/(30/100*MAX('⚙ Parámetros'!D15/(1+2^(-'⚙ Parámetros'!C15*(F44-'⚙ Parámetros'!B15))),'⚙ Parámetros'!G15/(1+2^(-'⚙ Parámetros'!F15*(F44-'⚙ Parámetros'!E15))),1)+30/100*MAX('⚙ Parámetros'!D15/(1+2^(-'⚙ Parámetros'!C15*(G44-'⚙ Parámetros'!B15))),'⚙ Parámetros'!G15/(1+2^(-'⚙ Parámetros'!F15*(G44-'⚙ Parámetros'!E15))),1)+20/100*MAX('⚙ Parámetros'!D15/(1+2^(-'⚙ Parámetros'!C15*(H44-'⚙ Parámetros'!B15))),'⚙ Parámetros'!G15/(1+2^(-'⚙ Parámetros'!F15*(H44-'⚙ Parámetros'!E15))),1)+20/100*MAX('⚙ Parámetros'!D15/(1+2^(-'⚙ Parámetros'!C15*(I44-'⚙ Parámetros'!B15))),'⚙ Parámetros'!G15/(1+2^(-'⚙ Parámetros'!F15*(I44-'⚙ Parámetros'!E15))),1)),0)</f>
        <v>3.17741935483871</v>
      </c>
      <c r="AC44" s="89">
        <f>IFERROR((35/100*MAX('⚙ Parámetros'!D16/(1+2^(-'⚙ Parámetros'!C16*(J44-'⚙ Parámetros'!B16))),'⚙ Parámetros'!G16/(1+2^(-'⚙ Parámetros'!F16*(J44-'⚙ Parámetros'!E16))),1)*J44+25/100*MAX('⚙ Parámetros'!D16/(1+2^(-'⚙ Parámetros'!C16*(K44-'⚙ Parámetros'!B16))),'⚙ Parámetros'!G16/(1+2^(-'⚙ Parámetros'!F16*(K44-'⚙ Parámetros'!E16))),1)*K44+20/100*MAX('⚙ Parámetros'!D16/(1+2^(-'⚙ Parámetros'!C16*(L44-'⚙ Parámetros'!B16))),'⚙ Parámetros'!G16/(1+2^(-'⚙ Parámetros'!F16*(L44-'⚙ Parámetros'!E16))),1)*L44+20/100*MAX('⚙ Parámetros'!D16/(1+2^(-'⚙ Parámetros'!C16*(M44-'⚙ Parámetros'!B16))),'⚙ Parámetros'!G16/(1+2^(-'⚙ Parámetros'!F16*(M44-'⚙ Parámetros'!E16))),1)*M44)/(35/100*MAX('⚙ Parámetros'!D16/(1+2^(-'⚙ Parámetros'!C16*(J44-'⚙ Parámetros'!B16))),'⚙ Parámetros'!G16/(1+2^(-'⚙ Parámetros'!F16*(J44-'⚙ Parámetros'!E16))),1)+25/100*MAX('⚙ Parámetros'!D16/(1+2^(-'⚙ Parámetros'!C16*(K44-'⚙ Parámetros'!B16))),'⚙ Parámetros'!G16/(1+2^(-'⚙ Parámetros'!F16*(K44-'⚙ Parámetros'!E16))),1)+20/100*MAX('⚙ Parámetros'!D16/(1+2^(-'⚙ Parámetros'!C16*(L44-'⚙ Parámetros'!B16))),'⚙ Parámetros'!G16/(1+2^(-'⚙ Parámetros'!F16*(L44-'⚙ Parámetros'!E16))),1)+20/100*MAX('⚙ Parámetros'!D16/(1+2^(-'⚙ Parámetros'!C16*(M44-'⚙ Parámetros'!B16))),'⚙ Parámetros'!G16/(1+2^(-'⚙ Parámetros'!F16*(M44-'⚙ Parámetros'!E16))),1)),0)</f>
        <v>4.9411764705882355</v>
      </c>
      <c r="AD44" s="89">
        <f>IFERROR((30/100*MAX('⚙ Parámetros'!D17/(1+2^(-'⚙ Parámetros'!C17*(N44-'⚙ Parámetros'!B17))),'⚙ Parámetros'!G17/(1+2^(-'⚙ Parámetros'!F17*(N44-'⚙ Parámetros'!E17))),1)*N44+25/100*MAX('⚙ Parámetros'!D17/(1+2^(-'⚙ Parámetros'!C17*(O44-'⚙ Parámetros'!B17))),'⚙ Parámetros'!G17/(1+2^(-'⚙ Parámetros'!F17*(O44-'⚙ Parámetros'!E17))),1)*O44+25/100*MAX('⚙ Parámetros'!D17/(1+2^(-'⚙ Parámetros'!C17*(P44-'⚙ Parámetros'!B17))),'⚙ Parámetros'!G17/(1+2^(-'⚙ Parámetros'!F17*(P44-'⚙ Parámetros'!E17))),1)*P44+20/100*MAX('⚙ Parámetros'!D17/(1+2^(-'⚙ Parámetros'!C17*(Q44-'⚙ Parámetros'!B17))),'⚙ Parámetros'!G17/(1+2^(-'⚙ Parámetros'!F17*(Q44-'⚙ Parámetros'!E17))),1)*Q44)/(30/100*MAX('⚙ Parámetros'!D17/(1+2^(-'⚙ Parámetros'!C17*(N44-'⚙ Parámetros'!B17))),'⚙ Parámetros'!G17/(1+2^(-'⚙ Parámetros'!F17*(N44-'⚙ Parámetros'!E17))),1)+25/100*MAX('⚙ Parámetros'!D17/(1+2^(-'⚙ Parámetros'!C17*(O44-'⚙ Parámetros'!B17))),'⚙ Parámetros'!G17/(1+2^(-'⚙ Parámetros'!F17*(O44-'⚙ Parámetros'!E17))),1)+25/100*MAX('⚙ Parámetros'!D17/(1+2^(-'⚙ Parámetros'!C17*(P44-'⚙ Parámetros'!B17))),'⚙ Parámetros'!G17/(1+2^(-'⚙ Parámetros'!F17*(P44-'⚙ Parámetros'!E17))),1)+20/100*MAX('⚙ Parámetros'!D17/(1+2^(-'⚙ Parámetros'!C17*(Q44-'⚙ Parámetros'!B17))),'⚙ Parámetros'!G17/(1+2^(-'⚙ Parámetros'!F17*(Q44-'⚙ Parámetros'!E17))),1)),0)</f>
        <v>5.9523809523809534</v>
      </c>
      <c r="AE44" s="89">
        <f>IFERROR((30/100*MAX('⚙ Parámetros'!D18/(1+2^(-'⚙ Parámetros'!C18*(R44-'⚙ Parámetros'!B18))),'⚙ Parámetros'!G18/(1+2^(-'⚙ Parámetros'!F18*(R44-'⚙ Parámetros'!E18))),1)*R44+30/100*MAX('⚙ Parámetros'!D18/(1+2^(-'⚙ Parámetros'!C18*(S44-'⚙ Parámetros'!B18))),'⚙ Parámetros'!G18/(1+2^(-'⚙ Parámetros'!F18*(S44-'⚙ Parámetros'!E18))),1)*S44+20/100*MAX('⚙ Parámetros'!D18/(1+2^(-'⚙ Parámetros'!C18*(T44-'⚙ Parámetros'!B18))),'⚙ Parámetros'!G18/(1+2^(-'⚙ Parámetros'!F18*(T44-'⚙ Parámetros'!E18))),1)*T44+20/100*MAX('⚙ Parámetros'!D18/(1+2^(-'⚙ Parámetros'!C18*(U44-'⚙ Parámetros'!B18))),'⚙ Parámetros'!G18/(1+2^(-'⚙ Parámetros'!F18*(U44-'⚙ Parámetros'!E18))),1)*U44)/(30/100*MAX('⚙ Parámetros'!D18/(1+2^(-'⚙ Parámetros'!C18*(R44-'⚙ Parámetros'!B18))),'⚙ Parámetros'!G18/(1+2^(-'⚙ Parámetros'!F18*(R44-'⚙ Parámetros'!E18))),1)+30/100*MAX('⚙ Parámetros'!D18/(1+2^(-'⚙ Parámetros'!C18*(S44-'⚙ Parámetros'!B18))),'⚙ Parámetros'!G18/(1+2^(-'⚙ Parámetros'!F18*(S44-'⚙ Parámetros'!E18))),1)+20/100*MAX('⚙ Parámetros'!D18/(1+2^(-'⚙ Parámetros'!C18*(T44-'⚙ Parámetros'!B18))),'⚙ Parámetros'!G18/(1+2^(-'⚙ Parámetros'!F18*(T44-'⚙ Parámetros'!E18))),1)+20/100*MAX('⚙ Parámetros'!D18/(1+2^(-'⚙ Parámetros'!C18*(U44-'⚙ Parámetros'!B18))),'⚙ Parámetros'!G18/(1+2^(-'⚙ Parámetros'!F18*(U44-'⚙ Parámetros'!E18))),1)),0)</f>
        <v>5</v>
      </c>
      <c r="AF44" s="89">
        <f>IFERROR((30/100*MAX('⚙ Parámetros'!D19/(1+2^(-'⚙ Parámetros'!C19*(V44-'⚙ Parámetros'!B19))),'⚙ Parámetros'!G19/(1+2^(-'⚙ Parámetros'!F19*(V44-'⚙ Parámetros'!E19))),1)*V44+35/100*MAX('⚙ Parámetros'!D19/(1+2^(-'⚙ Parámetros'!C19*(W44-'⚙ Parámetros'!B19))),'⚙ Parámetros'!G19/(1+2^(-'⚙ Parámetros'!F19*(W44-'⚙ Parámetros'!E19))),1)*W44+35/100*MAX('⚙ Parámetros'!D19/(1+2^(-'⚙ Parámetros'!C19*(X44-'⚙ Parámetros'!B19))),'⚙ Parámetros'!G19/(1+2^(-'⚙ Parámetros'!F19*(X44-'⚙ Parámetros'!E19))),1)*X44)/(30/100*MAX('⚙ Parámetros'!D19/(1+2^(-'⚙ Parámetros'!C19*(V44-'⚙ Parámetros'!B19))),'⚙ Parámetros'!G19/(1+2^(-'⚙ Parámetros'!F19*(V44-'⚙ Parámetros'!E19))),1)+35/100*MAX('⚙ Parámetros'!D19/(1+2^(-'⚙ Parámetros'!C19*(W44-'⚙ Parámetros'!B19))),'⚙ Parámetros'!G19/(1+2^(-'⚙ Parámetros'!F19*(W44-'⚙ Parámetros'!E19))),1)+35/100*MAX('⚙ Parámetros'!D19/(1+2^(-'⚙ Parámetros'!C19*(X44-'⚙ Parámetros'!B19))),'⚙ Parámetros'!G19/(1+2^(-'⚙ Parámetros'!F19*(X44-'⚙ Parámetros'!E19))),1)),0)</f>
        <v>8.0351483057098907</v>
      </c>
      <c r="AG44" s="89">
        <f>IFERROR((35/100*MAX('⚙ Parámetros'!D20/(1+2^(-'⚙ Parámetros'!C20*(Y44-'⚙ Parámetros'!B20))),'⚙ Parámetros'!G20/(1+2^(-'⚙ Parámetros'!F20*(Y44-'⚙ Parámetros'!E20))),1)*Y44+35/100*MAX('⚙ Parámetros'!D20/(1+2^(-'⚙ Parámetros'!C20*(Z44-'⚙ Parámetros'!B20))),'⚙ Parámetros'!G20/(1+2^(-'⚙ Parámetros'!F20*(Z44-'⚙ Parámetros'!E20))),1)*Z44+30/100*MAX('⚙ Parámetros'!D20/(1+2^(-'⚙ Parámetros'!C20*(AA44-'⚙ Parámetros'!B20))),'⚙ Parámetros'!G20/(1+2^(-'⚙ Parámetros'!F20*(AA44-'⚙ Parámetros'!E20))),1)*AA44)/(35/100*MAX('⚙ Parámetros'!D20/(1+2^(-'⚙ Parámetros'!C20*(Y44-'⚙ Parámetros'!B20))),'⚙ Parámetros'!G20/(1+2^(-'⚙ Parámetros'!F20*(Y44-'⚙ Parámetros'!E20))),1)+35/100*MAX('⚙ Parámetros'!D20/(1+2^(-'⚙ Parámetros'!C20*(Z44-'⚙ Parámetros'!B20))),'⚙ Parámetros'!G20/(1+2^(-'⚙ Parámetros'!F20*(Z44-'⚙ Parámetros'!E20))),1)+30/100*MAX('⚙ Parámetros'!D20/(1+2^(-'⚙ Parámetros'!C20*(AA44-'⚙ Parámetros'!B20))),'⚙ Parámetros'!G20/(1+2^(-'⚙ Parámetros'!F20*(AA44-'⚙ Parámetros'!E20))),1)),0)</f>
        <v>3.7272727272727275</v>
      </c>
      <c r="AH44" s="90">
        <f>('⚙ Parámetros'!B5/100*AB44+'⚙ Parámetros'!B6/100*AC44+'⚙ Parámetros'!B7/100*AD44+'⚙ Parámetros'!B8/100*AE44+'⚙ Parámetros'!B9/100*AF44+'⚙ Parámetros'!B10/100*AG44)</f>
        <v>4.8336339397982577</v>
      </c>
      <c r="AI44" s="91">
        <f ca="1">MIN(1+MAX(0,TODAY()-DATE(2025,7,14))/365*'⚙ Parámetros'!B33,'⚙ Parámetros'!B34)</f>
        <v>1.1368493150684931</v>
      </c>
      <c r="AJ44" s="82">
        <f t="shared" ca="1" si="2"/>
        <v>5.4951134337514711</v>
      </c>
      <c r="AK44" s="92" t="str">
        <f ca="1">IF(AB44&gt;='⚙ Parámetros'!B23,"⚑ AUTO-PRIOR.(D1≥8)",IF(AJ44&gt;='⚙ Parámetros'!B23,"PRIORITARIO",IF(AJ44&gt;='⚙ Parámetros'!B24,"ALTA PRIORIDAD",IF(AJ44&gt;='⚙ Parámetros'!B25,"PRIORIDAD MEDIA",IF(AJ44&gt;='⚙ Parámetros'!B26,"BAJA PRIORIDAD","DESCARTAR")))))</f>
        <v>BAJA PRIORIDAD</v>
      </c>
      <c r="AL44" s="69" t="str">
        <f t="shared" si="3"/>
        <v>—</v>
      </c>
      <c r="AM44" s="85">
        <v>17</v>
      </c>
      <c r="AN44" s="83" t="str">
        <f>IF(AM44="","—",IF(AM44&lt;'⚙ Parámetros'!B29,"🟢 Corto",IF(AM44&lt;'⚙ Parámetros'!B30,"🟡 Medio","🔴 Largo")))</f>
        <v>🟢 Corto</v>
      </c>
    </row>
    <row r="45" spans="1:40" ht="18.75" customHeight="1" x14ac:dyDescent="0.25">
      <c r="A45" s="69">
        <v>41</v>
      </c>
      <c r="B45" s="70" t="s">
        <v>219</v>
      </c>
      <c r="C45" s="4" t="s">
        <v>142</v>
      </c>
      <c r="D45" s="71" t="s">
        <v>136</v>
      </c>
      <c r="E45" s="72" t="s">
        <v>154</v>
      </c>
      <c r="F45" s="73">
        <v>6</v>
      </c>
      <c r="G45" s="73">
        <v>5</v>
      </c>
      <c r="H45" s="74">
        <v>1</v>
      </c>
      <c r="I45" s="73">
        <v>5</v>
      </c>
      <c r="J45" s="74">
        <v>1</v>
      </c>
      <c r="K45" s="74">
        <v>1</v>
      </c>
      <c r="L45" s="74">
        <v>1</v>
      </c>
      <c r="M45" s="73">
        <v>3</v>
      </c>
      <c r="N45" s="73">
        <v>7</v>
      </c>
      <c r="O45" s="74">
        <v>1</v>
      </c>
      <c r="P45" s="74">
        <v>1</v>
      </c>
      <c r="Q45" s="87">
        <v>8</v>
      </c>
      <c r="R45" s="76">
        <v>9</v>
      </c>
      <c r="S45" s="76">
        <v>9</v>
      </c>
      <c r="T45" s="73">
        <v>5</v>
      </c>
      <c r="U45" s="73">
        <v>5</v>
      </c>
      <c r="V45" s="73">
        <v>5</v>
      </c>
      <c r="W45" s="73">
        <v>6</v>
      </c>
      <c r="X45" s="73">
        <v>6</v>
      </c>
      <c r="Y45" s="73">
        <v>4</v>
      </c>
      <c r="Z45" s="74">
        <v>2</v>
      </c>
      <c r="AA45" s="73">
        <v>5</v>
      </c>
      <c r="AB45" s="80">
        <f>IFERROR((30/100*MAX('⚙ Parámetros'!D15/(1+2^(-'⚙ Parámetros'!C15*(F45-'⚙ Parámetros'!B15))),'⚙ Parámetros'!G15/(1+2^(-'⚙ Parámetros'!F15*(F45-'⚙ Parámetros'!E15))),1)*F45+30/100*MAX('⚙ Parámetros'!D15/(1+2^(-'⚙ Parámetros'!C15*(G45-'⚙ Parámetros'!B15))),'⚙ Parámetros'!G15/(1+2^(-'⚙ Parámetros'!F15*(G45-'⚙ Parámetros'!E15))),1)*G45+20/100*MAX('⚙ Parámetros'!D15/(1+2^(-'⚙ Parámetros'!C15*(H45-'⚙ Parámetros'!B15))),'⚙ Parámetros'!G15/(1+2^(-'⚙ Parámetros'!F15*(H45-'⚙ Parámetros'!E15))),1)*H45+20/100*MAX('⚙ Parámetros'!D15/(1+2^(-'⚙ Parámetros'!C15*(I45-'⚙ Parámetros'!B15))),'⚙ Parámetros'!G15/(1+2^(-'⚙ Parámetros'!F15*(I45-'⚙ Parámetros'!E15))),1)*I45)/(30/100*MAX('⚙ Parámetros'!D15/(1+2^(-'⚙ Parámetros'!C15*(F45-'⚙ Parámetros'!B15))),'⚙ Parámetros'!G15/(1+2^(-'⚙ Parámetros'!F15*(F45-'⚙ Parámetros'!E15))),1)+30/100*MAX('⚙ Parámetros'!D15/(1+2^(-'⚙ Parámetros'!C15*(G45-'⚙ Parámetros'!B15))),'⚙ Parámetros'!G15/(1+2^(-'⚙ Parámetros'!F15*(G45-'⚙ Parámetros'!E15))),1)+20/100*MAX('⚙ Parámetros'!D15/(1+2^(-'⚙ Parámetros'!C15*(H45-'⚙ Parámetros'!B15))),'⚙ Parámetros'!G15/(1+2^(-'⚙ Parámetros'!F15*(H45-'⚙ Parámetros'!E15))),1)+20/100*MAX('⚙ Parámetros'!D15/(1+2^(-'⚙ Parámetros'!C15*(I45-'⚙ Parámetros'!B15))),'⚙ Parámetros'!G15/(1+2^(-'⚙ Parámetros'!F15*(I45-'⚙ Parámetros'!E15))),1)),0)</f>
        <v>4.8311688311688314</v>
      </c>
      <c r="AC45" s="80">
        <f>IFERROR((35/100*MAX('⚙ Parámetros'!D16/(1+2^(-'⚙ Parámetros'!C16*(J45-'⚙ Parámetros'!B16))),'⚙ Parámetros'!G16/(1+2^(-'⚙ Parámetros'!F16*(J45-'⚙ Parámetros'!E16))),1)*J45+25/100*MAX('⚙ Parámetros'!D16/(1+2^(-'⚙ Parámetros'!C16*(K45-'⚙ Parámetros'!B16))),'⚙ Parámetros'!G16/(1+2^(-'⚙ Parámetros'!F16*(K45-'⚙ Parámetros'!E16))),1)*K45+20/100*MAX('⚙ Parámetros'!D16/(1+2^(-'⚙ Parámetros'!C16*(L45-'⚙ Parámetros'!B16))),'⚙ Parámetros'!G16/(1+2^(-'⚙ Parámetros'!F16*(L45-'⚙ Parámetros'!E16))),1)*L45+20/100*MAX('⚙ Parámetros'!D16/(1+2^(-'⚙ Parámetros'!C16*(M45-'⚙ Parámetros'!B16))),'⚙ Parámetros'!G16/(1+2^(-'⚙ Parámetros'!F16*(M45-'⚙ Parámetros'!E16))),1)*M45)/(35/100*MAX('⚙ Parámetros'!D16/(1+2^(-'⚙ Parámetros'!C16*(J45-'⚙ Parámetros'!B16))),'⚙ Parámetros'!G16/(1+2^(-'⚙ Parámetros'!F16*(J45-'⚙ Parámetros'!E16))),1)+25/100*MAX('⚙ Parámetros'!D16/(1+2^(-'⚙ Parámetros'!C16*(K45-'⚙ Parámetros'!B16))),'⚙ Parámetros'!G16/(1+2^(-'⚙ Parámetros'!F16*(K45-'⚙ Parámetros'!E16))),1)+20/100*MAX('⚙ Parámetros'!D16/(1+2^(-'⚙ Parámetros'!C16*(L45-'⚙ Parámetros'!B16))),'⚙ Parámetros'!G16/(1+2^(-'⚙ Parámetros'!F16*(L45-'⚙ Parámetros'!E16))),1)+20/100*MAX('⚙ Parámetros'!D16/(1+2^(-'⚙ Parámetros'!C16*(M45-'⚙ Parámetros'!B16))),'⚙ Parámetros'!G16/(1+2^(-'⚙ Parámetros'!F16*(M45-'⚙ Parámetros'!E16))),1)),0)</f>
        <v>1.4000000000000001</v>
      </c>
      <c r="AD45" s="80">
        <f>IFERROR((30/100*MAX('⚙ Parámetros'!D17/(1+2^(-'⚙ Parámetros'!C17*(N45-'⚙ Parámetros'!B17))),'⚙ Parámetros'!G17/(1+2^(-'⚙ Parámetros'!F17*(N45-'⚙ Parámetros'!E17))),1)*N45+25/100*MAX('⚙ Parámetros'!D17/(1+2^(-'⚙ Parámetros'!C17*(O45-'⚙ Parámetros'!B17))),'⚙ Parámetros'!G17/(1+2^(-'⚙ Parámetros'!F17*(O45-'⚙ Parámetros'!E17))),1)*O45+25/100*MAX('⚙ Parámetros'!D17/(1+2^(-'⚙ Parámetros'!C17*(P45-'⚙ Parámetros'!B17))),'⚙ Parámetros'!G17/(1+2^(-'⚙ Parámetros'!F17*(P45-'⚙ Parámetros'!E17))),1)*P45+20/100*MAX('⚙ Parámetros'!D17/(1+2^(-'⚙ Parámetros'!C17*(Q45-'⚙ Parámetros'!B17))),'⚙ Parámetros'!G17/(1+2^(-'⚙ Parámetros'!F17*(Q45-'⚙ Parámetros'!E17))),1)*Q45)/(30/100*MAX('⚙ Parámetros'!D17/(1+2^(-'⚙ Parámetros'!C17*(N45-'⚙ Parámetros'!B17))),'⚙ Parámetros'!G17/(1+2^(-'⚙ Parámetros'!F17*(N45-'⚙ Parámetros'!E17))),1)+25/100*MAX('⚙ Parámetros'!D17/(1+2^(-'⚙ Parámetros'!C17*(O45-'⚙ Parámetros'!B17))),'⚙ Parámetros'!G17/(1+2^(-'⚙ Parámetros'!F17*(O45-'⚙ Parámetros'!E17))),1)+25/100*MAX('⚙ Parámetros'!D17/(1+2^(-'⚙ Parámetros'!C17*(P45-'⚙ Parámetros'!B17))),'⚙ Parámetros'!G17/(1+2^(-'⚙ Parámetros'!F17*(P45-'⚙ Parámetros'!E17))),1)+20/100*MAX('⚙ Parámetros'!D17/(1+2^(-'⚙ Parámetros'!C17*(Q45-'⚙ Parámetros'!B17))),'⚙ Parámetros'!G17/(1+2^(-'⚙ Parámetros'!F17*(Q45-'⚙ Parámetros'!E17))),1)),0)</f>
        <v>5.9523809523809534</v>
      </c>
      <c r="AE45" s="80">
        <f>IFERROR((30/100*MAX('⚙ Parámetros'!D18/(1+2^(-'⚙ Parámetros'!C18*(R45-'⚙ Parámetros'!B18))),'⚙ Parámetros'!G18/(1+2^(-'⚙ Parámetros'!F18*(R45-'⚙ Parámetros'!E18))),1)*R45+30/100*MAX('⚙ Parámetros'!D18/(1+2^(-'⚙ Parámetros'!C18*(S45-'⚙ Parámetros'!B18))),'⚙ Parámetros'!G18/(1+2^(-'⚙ Parámetros'!F18*(S45-'⚙ Parámetros'!E18))),1)*S45+20/100*MAX('⚙ Parámetros'!D18/(1+2^(-'⚙ Parámetros'!C18*(T45-'⚙ Parámetros'!B18))),'⚙ Parámetros'!G18/(1+2^(-'⚙ Parámetros'!F18*(T45-'⚙ Parámetros'!E18))),1)*T45+20/100*MAX('⚙ Parámetros'!D18/(1+2^(-'⚙ Parámetros'!C18*(U45-'⚙ Parámetros'!B18))),'⚙ Parámetros'!G18/(1+2^(-'⚙ Parámetros'!F18*(U45-'⚙ Parámetros'!E18))),1)*U45)/(30/100*MAX('⚙ Parámetros'!D18/(1+2^(-'⚙ Parámetros'!C18*(R45-'⚙ Parámetros'!B18))),'⚙ Parámetros'!G18/(1+2^(-'⚙ Parámetros'!F18*(R45-'⚙ Parámetros'!E18))),1)+30/100*MAX('⚙ Parámetros'!D18/(1+2^(-'⚙ Parámetros'!C18*(S45-'⚙ Parámetros'!B18))),'⚙ Parámetros'!G18/(1+2^(-'⚙ Parámetros'!F18*(S45-'⚙ Parámetros'!E18))),1)+20/100*MAX('⚙ Parámetros'!D18/(1+2^(-'⚙ Parámetros'!C18*(T45-'⚙ Parámetros'!B18))),'⚙ Parámetros'!G18/(1+2^(-'⚙ Parámetros'!F18*(T45-'⚙ Parámetros'!E18))),1)+20/100*MAX('⚙ Parámetros'!D18/(1+2^(-'⚙ Parámetros'!C18*(U45-'⚙ Parámetros'!B18))),'⚙ Parámetros'!G18/(1+2^(-'⚙ Parámetros'!F18*(U45-'⚙ Parámetros'!E18))),1)),0)</f>
        <v>8.1801060365339655</v>
      </c>
      <c r="AF45" s="80">
        <f>IFERROR((30/100*MAX('⚙ Parámetros'!D19/(1+2^(-'⚙ Parámetros'!C19*(V45-'⚙ Parámetros'!B19))),'⚙ Parámetros'!G19/(1+2^(-'⚙ Parámetros'!F19*(V45-'⚙ Parámetros'!E19))),1)*V45+35/100*MAX('⚙ Parámetros'!D19/(1+2^(-'⚙ Parámetros'!C19*(W45-'⚙ Parámetros'!B19))),'⚙ Parámetros'!G19/(1+2^(-'⚙ Parámetros'!F19*(W45-'⚙ Parámetros'!E19))),1)*W45+35/100*MAX('⚙ Parámetros'!D19/(1+2^(-'⚙ Parámetros'!C19*(X45-'⚙ Parámetros'!B19))),'⚙ Parámetros'!G19/(1+2^(-'⚙ Parámetros'!F19*(X45-'⚙ Parámetros'!E19))),1)*X45)/(30/100*MAX('⚙ Parámetros'!D19/(1+2^(-'⚙ Parámetros'!C19*(V45-'⚙ Parámetros'!B19))),'⚙ Parámetros'!G19/(1+2^(-'⚙ Parámetros'!F19*(V45-'⚙ Parámetros'!E19))),1)+35/100*MAX('⚙ Parámetros'!D19/(1+2^(-'⚙ Parámetros'!C19*(W45-'⚙ Parámetros'!B19))),'⚙ Parámetros'!G19/(1+2^(-'⚙ Parámetros'!F19*(W45-'⚙ Parámetros'!E19))),1)+35/100*MAX('⚙ Parámetros'!D19/(1+2^(-'⚙ Parámetros'!C19*(X45-'⚙ Parámetros'!B19))),'⚙ Parámetros'!G19/(1+2^(-'⚙ Parámetros'!F19*(X45-'⚙ Parámetros'!E19))),1)),0)</f>
        <v>5.7368421052631575</v>
      </c>
      <c r="AG45" s="80">
        <f>IFERROR((35/100*MAX('⚙ Parámetros'!D20/(1+2^(-'⚙ Parámetros'!C20*(Y45-'⚙ Parámetros'!B20))),'⚙ Parámetros'!G20/(1+2^(-'⚙ Parámetros'!F20*(Y45-'⚙ Parámetros'!E20))),1)*Y45+35/100*MAX('⚙ Parámetros'!D20/(1+2^(-'⚙ Parámetros'!C20*(Z45-'⚙ Parámetros'!B20))),'⚙ Parámetros'!G20/(1+2^(-'⚙ Parámetros'!F20*(Z45-'⚙ Parámetros'!E20))),1)*Z45+30/100*MAX('⚙ Parámetros'!D20/(1+2^(-'⚙ Parámetros'!C20*(AA45-'⚙ Parámetros'!B20))),'⚙ Parámetros'!G20/(1+2^(-'⚙ Parámetros'!F20*(AA45-'⚙ Parámetros'!E20))),1)*AA45)/(35/100*MAX('⚙ Parámetros'!D20/(1+2^(-'⚙ Parámetros'!C20*(Y45-'⚙ Parámetros'!B20))),'⚙ Parámetros'!G20/(1+2^(-'⚙ Parámetros'!F20*(Y45-'⚙ Parámetros'!E20))),1)+35/100*MAX('⚙ Parámetros'!D20/(1+2^(-'⚙ Parámetros'!C20*(Z45-'⚙ Parámetros'!B20))),'⚙ Parámetros'!G20/(1+2^(-'⚙ Parámetros'!F20*(Z45-'⚙ Parámetros'!E20))),1)+30/100*MAX('⚙ Parámetros'!D20/(1+2^(-'⚙ Parámetros'!C20*(AA45-'⚙ Parámetros'!B20))),'⚙ Parámetros'!G20/(1+2^(-'⚙ Parámetros'!F20*(AA45-'⚙ Parámetros'!E20))),1)),0)</f>
        <v>3.7272727272727275</v>
      </c>
      <c r="AH45" s="81">
        <f>('⚙ Parámetros'!B5/100*AB45+'⚙ Parámetros'!B6/100*AC45+'⚙ Parámetros'!B7/100*AD45+'⚙ Parámetros'!B8/100*AE45+'⚙ Parámetros'!B9/100*AF45+'⚙ Parámetros'!B10/100*AG45)</f>
        <v>4.7733055929190495</v>
      </c>
      <c r="AI45" s="33">
        <f ca="1">MIN(1+MAX(0,TODAY()-DATE(2024,9,13))/365*'⚙ Parámetros'!B33,'⚙ Parámetros'!B34)</f>
        <v>1.25</v>
      </c>
      <c r="AJ45" s="82">
        <f t="shared" ca="1" si="2"/>
        <v>5.9666319911488124</v>
      </c>
      <c r="AK45" s="83" t="str">
        <f ca="1">IF(AB45&gt;='⚙ Parámetros'!B23,"⚑ AUTO-PRIOR.(D1≥8)",IF(AJ45&gt;='⚙ Parámetros'!B23,"PRIORITARIO",IF(AJ45&gt;='⚙ Parámetros'!B24,"ALTA PRIORIDAD",IF(AJ45&gt;='⚙ Parámetros'!B25,"PRIORIDAD MEDIA",IF(AJ45&gt;='⚙ Parámetros'!B26,"BAJA PRIORIDAD","DESCARTAR")))))</f>
        <v>PRIORIDAD MEDIA</v>
      </c>
      <c r="AL45" s="84" t="str">
        <f t="shared" si="3"/>
        <v>—</v>
      </c>
      <c r="AM45" s="85">
        <v>42</v>
      </c>
      <c r="AN45" s="83" t="str">
        <f>IF(AM45="","—",IF(AM45&lt;'⚙ Parámetros'!B29,"🟢 Corto",IF(AM45&lt;'⚙ Parámetros'!B30,"🟡 Medio","🔴 Largo")))</f>
        <v>🟡 Medio</v>
      </c>
    </row>
    <row r="46" spans="1:40" ht="18.75" customHeight="1" x14ac:dyDescent="0.25">
      <c r="A46" s="69">
        <v>42</v>
      </c>
      <c r="B46" s="30" t="s">
        <v>220</v>
      </c>
      <c r="C46" s="26" t="s">
        <v>135</v>
      </c>
      <c r="D46" s="71" t="s">
        <v>139</v>
      </c>
      <c r="E46" s="72" t="s">
        <v>221</v>
      </c>
      <c r="F46" s="74">
        <v>1</v>
      </c>
      <c r="G46" s="86">
        <v>7</v>
      </c>
      <c r="H46" s="74">
        <v>1</v>
      </c>
      <c r="I46" s="74">
        <v>1</v>
      </c>
      <c r="J46" s="74">
        <v>1</v>
      </c>
      <c r="K46" s="74">
        <v>1</v>
      </c>
      <c r="L46" s="75">
        <v>8</v>
      </c>
      <c r="M46" s="86">
        <v>3</v>
      </c>
      <c r="N46" s="74">
        <v>1</v>
      </c>
      <c r="O46" s="74">
        <v>1</v>
      </c>
      <c r="P46" s="74">
        <v>1</v>
      </c>
      <c r="Q46" s="74">
        <v>1</v>
      </c>
      <c r="R46" s="76">
        <v>9</v>
      </c>
      <c r="S46" s="76">
        <v>9</v>
      </c>
      <c r="T46" s="86">
        <v>5</v>
      </c>
      <c r="U46" s="86">
        <v>5</v>
      </c>
      <c r="V46" s="77">
        <v>8</v>
      </c>
      <c r="W46" s="86">
        <v>6</v>
      </c>
      <c r="X46" s="77">
        <v>9</v>
      </c>
      <c r="Y46" s="86">
        <v>4</v>
      </c>
      <c r="Z46" s="74">
        <v>2</v>
      </c>
      <c r="AA46" s="86">
        <v>5</v>
      </c>
      <c r="AB46" s="89">
        <f>IFERROR((30/100*MAX('⚙ Parámetros'!D15/(1+2^(-'⚙ Parámetros'!C15*(F46-'⚙ Parámetros'!B15))),'⚙ Parámetros'!G15/(1+2^(-'⚙ Parámetros'!F15*(F46-'⚙ Parámetros'!E15))),1)*F46+30/100*MAX('⚙ Parámetros'!D15/(1+2^(-'⚙ Parámetros'!C15*(G46-'⚙ Parámetros'!B15))),'⚙ Parámetros'!G15/(1+2^(-'⚙ Parámetros'!F15*(G46-'⚙ Parámetros'!E15))),1)*G46+20/100*MAX('⚙ Parámetros'!D15/(1+2^(-'⚙ Parámetros'!C15*(H46-'⚙ Parámetros'!B15))),'⚙ Parámetros'!G15/(1+2^(-'⚙ Parámetros'!F15*(H46-'⚙ Parámetros'!E15))),1)*H46+20/100*MAX('⚙ Parámetros'!D15/(1+2^(-'⚙ Parámetros'!C15*(I46-'⚙ Parámetros'!B15))),'⚙ Parámetros'!G15/(1+2^(-'⚙ Parámetros'!F15*(I46-'⚙ Parámetros'!E15))),1)*I46)/(30/100*MAX('⚙ Parámetros'!D15/(1+2^(-'⚙ Parámetros'!C15*(F46-'⚙ Parámetros'!B15))),'⚙ Parámetros'!G15/(1+2^(-'⚙ Parámetros'!F15*(F46-'⚙ Parámetros'!E15))),1)+30/100*MAX('⚙ Parámetros'!D15/(1+2^(-'⚙ Parámetros'!C15*(G46-'⚙ Parámetros'!B15))),'⚙ Parámetros'!G15/(1+2^(-'⚙ Parámetros'!F15*(G46-'⚙ Parámetros'!E15))),1)+20/100*MAX('⚙ Parámetros'!D15/(1+2^(-'⚙ Parámetros'!C15*(H46-'⚙ Parámetros'!B15))),'⚙ Parámetros'!G15/(1+2^(-'⚙ Parámetros'!F15*(H46-'⚙ Parámetros'!E15))),1)+20/100*MAX('⚙ Parámetros'!D15/(1+2^(-'⚙ Parámetros'!C15*(I46-'⚙ Parámetros'!B15))),'⚙ Parámetros'!G15/(1+2^(-'⚙ Parámetros'!F15*(I46-'⚙ Parámetros'!E15))),1)),0)</f>
        <v>4.9512195121951219</v>
      </c>
      <c r="AC46" s="89">
        <f>IFERROR((35/100*MAX('⚙ Parámetros'!D16/(1+2^(-'⚙ Parámetros'!C16*(J46-'⚙ Parámetros'!B16))),'⚙ Parámetros'!G16/(1+2^(-'⚙ Parámetros'!F16*(J46-'⚙ Parámetros'!E16))),1)*J46+25/100*MAX('⚙ Parámetros'!D16/(1+2^(-'⚙ Parámetros'!C16*(K46-'⚙ Parámetros'!B16))),'⚙ Parámetros'!G16/(1+2^(-'⚙ Parámetros'!F16*(K46-'⚙ Parámetros'!E16))),1)*K46+20/100*MAX('⚙ Parámetros'!D16/(1+2^(-'⚙ Parámetros'!C16*(L46-'⚙ Parámetros'!B16))),'⚙ Parámetros'!G16/(1+2^(-'⚙ Parámetros'!F16*(L46-'⚙ Parámetros'!E16))),1)*L46+20/100*MAX('⚙ Parámetros'!D16/(1+2^(-'⚙ Parámetros'!C16*(M46-'⚙ Parámetros'!B16))),'⚙ Parámetros'!G16/(1+2^(-'⚙ Parámetros'!F16*(M46-'⚙ Parámetros'!E16))),1)*M46)/(35/100*MAX('⚙ Parámetros'!D16/(1+2^(-'⚙ Parámetros'!C16*(J46-'⚙ Parámetros'!B16))),'⚙ Parámetros'!G16/(1+2^(-'⚙ Parámetros'!F16*(J46-'⚙ Parámetros'!E16))),1)+25/100*MAX('⚙ Parámetros'!D16/(1+2^(-'⚙ Parámetros'!C16*(K46-'⚙ Parámetros'!B16))),'⚙ Parámetros'!G16/(1+2^(-'⚙ Parámetros'!F16*(K46-'⚙ Parámetros'!E16))),1)+20/100*MAX('⚙ Parámetros'!D16/(1+2^(-'⚙ Parámetros'!C16*(L46-'⚙ Parámetros'!B16))),'⚙ Parámetros'!G16/(1+2^(-'⚙ Parámetros'!F16*(L46-'⚙ Parámetros'!E16))),1)+20/100*MAX('⚙ Parámetros'!D16/(1+2^(-'⚙ Parámetros'!C16*(M46-'⚙ Parámetros'!B16))),'⚙ Parámetros'!G16/(1+2^(-'⚙ Parámetros'!F16*(M46-'⚙ Parámetros'!E16))),1)),0)</f>
        <v>4.9411764705882355</v>
      </c>
      <c r="AD46" s="89">
        <f>IFERROR((30/100*MAX('⚙ Parámetros'!D17/(1+2^(-'⚙ Parámetros'!C17*(N46-'⚙ Parámetros'!B17))),'⚙ Parámetros'!G17/(1+2^(-'⚙ Parámetros'!F17*(N46-'⚙ Parámetros'!E17))),1)*N46+25/100*MAX('⚙ Parámetros'!D17/(1+2^(-'⚙ Parámetros'!C17*(O46-'⚙ Parámetros'!B17))),'⚙ Parámetros'!G17/(1+2^(-'⚙ Parámetros'!F17*(O46-'⚙ Parámetros'!E17))),1)*O46+25/100*MAX('⚙ Parámetros'!D17/(1+2^(-'⚙ Parámetros'!C17*(P46-'⚙ Parámetros'!B17))),'⚙ Parámetros'!G17/(1+2^(-'⚙ Parámetros'!F17*(P46-'⚙ Parámetros'!E17))),1)*P46+20/100*MAX('⚙ Parámetros'!D17/(1+2^(-'⚙ Parámetros'!C17*(Q46-'⚙ Parámetros'!B17))),'⚙ Parámetros'!G17/(1+2^(-'⚙ Parámetros'!F17*(Q46-'⚙ Parámetros'!E17))),1)*Q46)/(30/100*MAX('⚙ Parámetros'!D17/(1+2^(-'⚙ Parámetros'!C17*(N46-'⚙ Parámetros'!B17))),'⚙ Parámetros'!G17/(1+2^(-'⚙ Parámetros'!F17*(N46-'⚙ Parámetros'!E17))),1)+25/100*MAX('⚙ Parámetros'!D17/(1+2^(-'⚙ Parámetros'!C17*(O46-'⚙ Parámetros'!B17))),'⚙ Parámetros'!G17/(1+2^(-'⚙ Parámetros'!F17*(O46-'⚙ Parámetros'!E17))),1)+25/100*MAX('⚙ Parámetros'!D17/(1+2^(-'⚙ Parámetros'!C17*(P46-'⚙ Parámetros'!B17))),'⚙ Parámetros'!G17/(1+2^(-'⚙ Parámetros'!F17*(P46-'⚙ Parámetros'!E17))),1)+20/100*MAX('⚙ Parámetros'!D17/(1+2^(-'⚙ Parámetros'!C17*(Q46-'⚙ Parámetros'!B17))),'⚙ Parámetros'!G17/(1+2^(-'⚙ Parámetros'!F17*(Q46-'⚙ Parámetros'!E17))),1)),0)</f>
        <v>1</v>
      </c>
      <c r="AE46" s="89">
        <f>IFERROR((30/100*MAX('⚙ Parámetros'!D18/(1+2^(-'⚙ Parámetros'!C18*(R46-'⚙ Parámetros'!B18))),'⚙ Parámetros'!G18/(1+2^(-'⚙ Parámetros'!F18*(R46-'⚙ Parámetros'!E18))),1)*R46+30/100*MAX('⚙ Parámetros'!D18/(1+2^(-'⚙ Parámetros'!C18*(S46-'⚙ Parámetros'!B18))),'⚙ Parámetros'!G18/(1+2^(-'⚙ Parámetros'!F18*(S46-'⚙ Parámetros'!E18))),1)*S46+20/100*MAX('⚙ Parámetros'!D18/(1+2^(-'⚙ Parámetros'!C18*(T46-'⚙ Parámetros'!B18))),'⚙ Parámetros'!G18/(1+2^(-'⚙ Parámetros'!F18*(T46-'⚙ Parámetros'!E18))),1)*T46+20/100*MAX('⚙ Parámetros'!D18/(1+2^(-'⚙ Parámetros'!C18*(U46-'⚙ Parámetros'!B18))),'⚙ Parámetros'!G18/(1+2^(-'⚙ Parámetros'!F18*(U46-'⚙ Parámetros'!E18))),1)*U46)/(30/100*MAX('⚙ Parámetros'!D18/(1+2^(-'⚙ Parámetros'!C18*(R46-'⚙ Parámetros'!B18))),'⚙ Parámetros'!G18/(1+2^(-'⚙ Parámetros'!F18*(R46-'⚙ Parámetros'!E18))),1)+30/100*MAX('⚙ Parámetros'!D18/(1+2^(-'⚙ Parámetros'!C18*(S46-'⚙ Parámetros'!B18))),'⚙ Parámetros'!G18/(1+2^(-'⚙ Parámetros'!F18*(S46-'⚙ Parámetros'!E18))),1)+20/100*MAX('⚙ Parámetros'!D18/(1+2^(-'⚙ Parámetros'!C18*(T46-'⚙ Parámetros'!B18))),'⚙ Parámetros'!G18/(1+2^(-'⚙ Parámetros'!F18*(T46-'⚙ Parámetros'!E18))),1)+20/100*MAX('⚙ Parámetros'!D18/(1+2^(-'⚙ Parámetros'!C18*(U46-'⚙ Parámetros'!B18))),'⚙ Parámetros'!G18/(1+2^(-'⚙ Parámetros'!F18*(U46-'⚙ Parámetros'!E18))),1)),0)</f>
        <v>8.1801060365339655</v>
      </c>
      <c r="AF46" s="89">
        <f>IFERROR((30/100*MAX('⚙ Parámetros'!D19/(1+2^(-'⚙ Parámetros'!C19*(V46-'⚙ Parámetros'!B19))),'⚙ Parámetros'!G19/(1+2^(-'⚙ Parámetros'!F19*(V46-'⚙ Parámetros'!E19))),1)*V46+35/100*MAX('⚙ Parámetros'!D19/(1+2^(-'⚙ Parámetros'!C19*(W46-'⚙ Parámetros'!B19))),'⚙ Parámetros'!G19/(1+2^(-'⚙ Parámetros'!F19*(W46-'⚙ Parámetros'!E19))),1)*W46+35/100*MAX('⚙ Parámetros'!D19/(1+2^(-'⚙ Parámetros'!C19*(X46-'⚙ Parámetros'!B19))),'⚙ Parámetros'!G19/(1+2^(-'⚙ Parámetros'!F19*(X46-'⚙ Parámetros'!E19))),1)*X46)/(30/100*MAX('⚙ Parámetros'!D19/(1+2^(-'⚙ Parámetros'!C19*(V46-'⚙ Parámetros'!B19))),'⚙ Parámetros'!G19/(1+2^(-'⚙ Parámetros'!F19*(V46-'⚙ Parámetros'!E19))),1)+35/100*MAX('⚙ Parámetros'!D19/(1+2^(-'⚙ Parámetros'!C19*(W46-'⚙ Parámetros'!B19))),'⚙ Parámetros'!G19/(1+2^(-'⚙ Parámetros'!F19*(W46-'⚙ Parámetros'!E19))),1)+35/100*MAX('⚙ Parámetros'!D19/(1+2^(-'⚙ Parámetros'!C19*(X46-'⚙ Parámetros'!B19))),'⚙ Parámetros'!G19/(1+2^(-'⚙ Parámetros'!F19*(X46-'⚙ Parámetros'!E19))),1)),0)</f>
        <v>8.0351483057098907</v>
      </c>
      <c r="AG46" s="89">
        <f>IFERROR((35/100*MAX('⚙ Parámetros'!D20/(1+2^(-'⚙ Parámetros'!C20*(Y46-'⚙ Parámetros'!B20))),'⚙ Parámetros'!G20/(1+2^(-'⚙ Parámetros'!F20*(Y46-'⚙ Parámetros'!E20))),1)*Y46+35/100*MAX('⚙ Parámetros'!D20/(1+2^(-'⚙ Parámetros'!C20*(Z46-'⚙ Parámetros'!B20))),'⚙ Parámetros'!G20/(1+2^(-'⚙ Parámetros'!F20*(Z46-'⚙ Parámetros'!E20))),1)*Z46+30/100*MAX('⚙ Parámetros'!D20/(1+2^(-'⚙ Parámetros'!C20*(AA46-'⚙ Parámetros'!B20))),'⚙ Parámetros'!G20/(1+2^(-'⚙ Parámetros'!F20*(AA46-'⚙ Parámetros'!E20))),1)*AA46)/(35/100*MAX('⚙ Parámetros'!D20/(1+2^(-'⚙ Parámetros'!C20*(Y46-'⚙ Parámetros'!B20))),'⚙ Parámetros'!G20/(1+2^(-'⚙ Parámetros'!F20*(Y46-'⚙ Parámetros'!E20))),1)+35/100*MAX('⚙ Parámetros'!D20/(1+2^(-'⚙ Parámetros'!C20*(Z46-'⚙ Parámetros'!B20))),'⚙ Parámetros'!G20/(1+2^(-'⚙ Parámetros'!F20*(Z46-'⚙ Parámetros'!E20))),1)+30/100*MAX('⚙ Parámetros'!D20/(1+2^(-'⚙ Parámetros'!C20*(AA46-'⚙ Parámetros'!B20))),'⚙ Parámetros'!G20/(1+2^(-'⚙ Parámetros'!F20*(AA46-'⚙ Parámetros'!E20))),1)),0)</f>
        <v>3.7272727272727275</v>
      </c>
      <c r="AH46" s="90">
        <f>('⚙ Parámetros'!B5/100*AB46+'⚙ Parámetros'!B6/100*AC46+'⚙ Parámetros'!B7/100*AD46+'⚙ Parámetros'!B8/100*AE46+'⚙ Parámetros'!B9/100*AF46+'⚙ Parámetros'!B10/100*AG46)</f>
        <v>4.7569105209130669</v>
      </c>
      <c r="AI46" s="91">
        <f ca="1">MIN(1+MAX(0,TODAY()-DATE(2026,2,3))/365*'⚙ Parámetros'!B33,'⚙ Parámetros'!B34)</f>
        <v>1.0530136986301371</v>
      </c>
      <c r="AJ46" s="82">
        <f t="shared" ca="1" si="2"/>
        <v>5.0090919416792801</v>
      </c>
      <c r="AK46" s="92" t="str">
        <f ca="1">IF(AB46&gt;='⚙ Parámetros'!B23,"⚑ AUTO-PRIOR.(D1≥8)",IF(AJ46&gt;='⚙ Parámetros'!B23,"PRIORITARIO",IF(AJ46&gt;='⚙ Parámetros'!B24,"ALTA PRIORIDAD",IF(AJ46&gt;='⚙ Parámetros'!B25,"PRIORIDAD MEDIA",IF(AJ46&gt;='⚙ Parámetros'!B26,"BAJA PRIORIDAD","DESCARTAR")))))</f>
        <v>BAJA PRIORIDAD</v>
      </c>
      <c r="AL46" s="69" t="str">
        <f t="shared" si="3"/>
        <v>—</v>
      </c>
      <c r="AM46" s="85">
        <v>49</v>
      </c>
      <c r="AN46" s="83" t="str">
        <f>IF(AM46="","—",IF(AM46&lt;'⚙ Parámetros'!B29,"🟢 Corto",IF(AM46&lt;'⚙ Parámetros'!B30,"🟡 Medio","🔴 Largo")))</f>
        <v>🟡 Medio</v>
      </c>
    </row>
    <row r="47" spans="1:40" ht="18.75" customHeight="1" x14ac:dyDescent="0.25">
      <c r="A47" s="69">
        <v>43</v>
      </c>
      <c r="B47" s="70" t="s">
        <v>222</v>
      </c>
      <c r="C47" s="4" t="s">
        <v>131</v>
      </c>
      <c r="D47" s="71" t="s">
        <v>176</v>
      </c>
      <c r="E47" s="72" t="s">
        <v>172</v>
      </c>
      <c r="F47" s="73">
        <v>5</v>
      </c>
      <c r="G47" s="74">
        <v>1</v>
      </c>
      <c r="H47" s="74">
        <v>9</v>
      </c>
      <c r="I47" s="74">
        <v>1</v>
      </c>
      <c r="J47" s="74">
        <v>1</v>
      </c>
      <c r="K47" s="74">
        <v>1</v>
      </c>
      <c r="L47" s="74">
        <v>1</v>
      </c>
      <c r="M47" s="73">
        <v>3</v>
      </c>
      <c r="N47" s="74">
        <v>1</v>
      </c>
      <c r="O47" s="74">
        <v>1</v>
      </c>
      <c r="P47" s="73">
        <v>7</v>
      </c>
      <c r="Q47" s="73">
        <v>6</v>
      </c>
      <c r="R47" s="73">
        <v>5</v>
      </c>
      <c r="S47" s="73">
        <v>5</v>
      </c>
      <c r="T47" s="73">
        <v>5</v>
      </c>
      <c r="U47" s="73">
        <v>5</v>
      </c>
      <c r="V47" s="73">
        <v>5</v>
      </c>
      <c r="W47" s="73">
        <v>6</v>
      </c>
      <c r="X47" s="73">
        <v>6</v>
      </c>
      <c r="Y47" s="73">
        <v>4</v>
      </c>
      <c r="Z47" s="74">
        <v>2</v>
      </c>
      <c r="AA47" s="73">
        <v>5</v>
      </c>
      <c r="AB47" s="80">
        <f>IFERROR((30/100*MAX('⚙ Parámetros'!D15/(1+2^(-'⚙ Parámetros'!C15*(F47-'⚙ Parámetros'!B15))),'⚙ Parámetros'!G15/(1+2^(-'⚙ Parámetros'!F15*(F47-'⚙ Parámetros'!E15))),1)*F47+30/100*MAX('⚙ Parámetros'!D15/(1+2^(-'⚙ Parámetros'!C15*(G47-'⚙ Parámetros'!B15))),'⚙ Parámetros'!G15/(1+2^(-'⚙ Parámetros'!F15*(G47-'⚙ Parámetros'!E15))),1)*G47+20/100*MAX('⚙ Parámetros'!D15/(1+2^(-'⚙ Parámetros'!C15*(H47-'⚙ Parámetros'!B15))),'⚙ Parámetros'!G15/(1+2^(-'⚙ Parámetros'!F15*(H47-'⚙ Parámetros'!E15))),1)*H47+20/100*MAX('⚙ Parámetros'!D15/(1+2^(-'⚙ Parámetros'!C15*(I47-'⚙ Parámetros'!B15))),'⚙ Parámetros'!G15/(1+2^(-'⚙ Parámetros'!F15*(I47-'⚙ Parámetros'!E15))),1)*I47)/(30/100*MAX('⚙ Parámetros'!D15/(1+2^(-'⚙ Parámetros'!C15*(F47-'⚙ Parámetros'!B15))),'⚙ Parámetros'!G15/(1+2^(-'⚙ Parámetros'!F15*(F47-'⚙ Parámetros'!E15))),1)+30/100*MAX('⚙ Parámetros'!D15/(1+2^(-'⚙ Parámetros'!C15*(G47-'⚙ Parámetros'!B15))),'⚙ Parámetros'!G15/(1+2^(-'⚙ Parámetros'!F15*(G47-'⚙ Parámetros'!E15))),1)+20/100*MAX('⚙ Parámetros'!D15/(1+2^(-'⚙ Parámetros'!C15*(H47-'⚙ Parámetros'!B15))),'⚙ Parámetros'!G15/(1+2^(-'⚙ Parámetros'!F15*(H47-'⚙ Parámetros'!E15))),1)+20/100*MAX('⚙ Parámetros'!D15/(1+2^(-'⚙ Parámetros'!C15*(I47-'⚙ Parámetros'!B15))),'⚙ Parámetros'!G15/(1+2^(-'⚙ Parámetros'!F15*(I47-'⚙ Parámetros'!E15))),1)),0)</f>
        <v>6.786185657721072</v>
      </c>
      <c r="AC47" s="80">
        <f>IFERROR((35/100*MAX('⚙ Parámetros'!D16/(1+2^(-'⚙ Parámetros'!C16*(J47-'⚙ Parámetros'!B16))),'⚙ Parámetros'!G16/(1+2^(-'⚙ Parámetros'!F16*(J47-'⚙ Parámetros'!E16))),1)*J47+25/100*MAX('⚙ Parámetros'!D16/(1+2^(-'⚙ Parámetros'!C16*(K47-'⚙ Parámetros'!B16))),'⚙ Parámetros'!G16/(1+2^(-'⚙ Parámetros'!F16*(K47-'⚙ Parámetros'!E16))),1)*K47+20/100*MAX('⚙ Parámetros'!D16/(1+2^(-'⚙ Parámetros'!C16*(L47-'⚙ Parámetros'!B16))),'⚙ Parámetros'!G16/(1+2^(-'⚙ Parámetros'!F16*(L47-'⚙ Parámetros'!E16))),1)*L47+20/100*MAX('⚙ Parámetros'!D16/(1+2^(-'⚙ Parámetros'!C16*(M47-'⚙ Parámetros'!B16))),'⚙ Parámetros'!G16/(1+2^(-'⚙ Parámetros'!F16*(M47-'⚙ Parámetros'!E16))),1)*M47)/(35/100*MAX('⚙ Parámetros'!D16/(1+2^(-'⚙ Parámetros'!C16*(J47-'⚙ Parámetros'!B16))),'⚙ Parámetros'!G16/(1+2^(-'⚙ Parámetros'!F16*(J47-'⚙ Parámetros'!E16))),1)+25/100*MAX('⚙ Parámetros'!D16/(1+2^(-'⚙ Parámetros'!C16*(K47-'⚙ Parámetros'!B16))),'⚙ Parámetros'!G16/(1+2^(-'⚙ Parámetros'!F16*(K47-'⚙ Parámetros'!E16))),1)+20/100*MAX('⚙ Parámetros'!D16/(1+2^(-'⚙ Parámetros'!C16*(L47-'⚙ Parámetros'!B16))),'⚙ Parámetros'!G16/(1+2^(-'⚙ Parámetros'!F16*(L47-'⚙ Parámetros'!E16))),1)+20/100*MAX('⚙ Parámetros'!D16/(1+2^(-'⚙ Parámetros'!C16*(M47-'⚙ Parámetros'!B16))),'⚙ Parámetros'!G16/(1+2^(-'⚙ Parámetros'!F16*(M47-'⚙ Parámetros'!E16))),1)),0)</f>
        <v>1.4000000000000001</v>
      </c>
      <c r="AD47" s="80">
        <f>IFERROR((30/100*MAX('⚙ Parámetros'!D17/(1+2^(-'⚙ Parámetros'!C17*(N47-'⚙ Parámetros'!B17))),'⚙ Parámetros'!G17/(1+2^(-'⚙ Parámetros'!F17*(N47-'⚙ Parámetros'!E17))),1)*N47+25/100*MAX('⚙ Parámetros'!D17/(1+2^(-'⚙ Parámetros'!C17*(O47-'⚙ Parámetros'!B17))),'⚙ Parámetros'!G17/(1+2^(-'⚙ Parámetros'!F17*(O47-'⚙ Parámetros'!E17))),1)*O47+25/100*MAX('⚙ Parámetros'!D17/(1+2^(-'⚙ Parámetros'!C17*(P47-'⚙ Parámetros'!B17))),'⚙ Parámetros'!G17/(1+2^(-'⚙ Parámetros'!F17*(P47-'⚙ Parámetros'!E17))),1)*P47+20/100*MAX('⚙ Parámetros'!D17/(1+2^(-'⚙ Parámetros'!C17*(Q47-'⚙ Parámetros'!B17))),'⚙ Parámetros'!G17/(1+2^(-'⚙ Parámetros'!F17*(Q47-'⚙ Parámetros'!E17))),1)*Q47)/(30/100*MAX('⚙ Parámetros'!D17/(1+2^(-'⚙ Parámetros'!C17*(N47-'⚙ Parámetros'!B17))),'⚙ Parámetros'!G17/(1+2^(-'⚙ Parámetros'!F17*(N47-'⚙ Parámetros'!E17))),1)+25/100*MAX('⚙ Parámetros'!D17/(1+2^(-'⚙ Parámetros'!C17*(O47-'⚙ Parámetros'!B17))),'⚙ Parámetros'!G17/(1+2^(-'⚙ Parámetros'!F17*(O47-'⚙ Parámetros'!E17))),1)+25/100*MAX('⚙ Parámetros'!D17/(1+2^(-'⚙ Parámetros'!C17*(P47-'⚙ Parámetros'!B17))),'⚙ Parámetros'!G17/(1+2^(-'⚙ Parámetros'!F17*(P47-'⚙ Parámetros'!E17))),1)+20/100*MAX('⚙ Parámetros'!D17/(1+2^(-'⚙ Parámetros'!C17*(Q47-'⚙ Parámetros'!B17))),'⚙ Parámetros'!G17/(1+2^(-'⚙ Parámetros'!F17*(Q47-'⚙ Parámetros'!E17))),1)),0)</f>
        <v>4.7721021611001957</v>
      </c>
      <c r="AE47" s="80">
        <f>IFERROR((30/100*MAX('⚙ Parámetros'!D18/(1+2^(-'⚙ Parámetros'!C18*(R47-'⚙ Parámetros'!B18))),'⚙ Parámetros'!G18/(1+2^(-'⚙ Parámetros'!F18*(R47-'⚙ Parámetros'!E18))),1)*R47+30/100*MAX('⚙ Parámetros'!D18/(1+2^(-'⚙ Parámetros'!C18*(S47-'⚙ Parámetros'!B18))),'⚙ Parámetros'!G18/(1+2^(-'⚙ Parámetros'!F18*(S47-'⚙ Parámetros'!E18))),1)*S47+20/100*MAX('⚙ Parámetros'!D18/(1+2^(-'⚙ Parámetros'!C18*(T47-'⚙ Parámetros'!B18))),'⚙ Parámetros'!G18/(1+2^(-'⚙ Parámetros'!F18*(T47-'⚙ Parámetros'!E18))),1)*T47+20/100*MAX('⚙ Parámetros'!D18/(1+2^(-'⚙ Parámetros'!C18*(U47-'⚙ Parámetros'!B18))),'⚙ Parámetros'!G18/(1+2^(-'⚙ Parámetros'!F18*(U47-'⚙ Parámetros'!E18))),1)*U47)/(30/100*MAX('⚙ Parámetros'!D18/(1+2^(-'⚙ Parámetros'!C18*(R47-'⚙ Parámetros'!B18))),'⚙ Parámetros'!G18/(1+2^(-'⚙ Parámetros'!F18*(R47-'⚙ Parámetros'!E18))),1)+30/100*MAX('⚙ Parámetros'!D18/(1+2^(-'⚙ Parámetros'!C18*(S47-'⚙ Parámetros'!B18))),'⚙ Parámetros'!G18/(1+2^(-'⚙ Parámetros'!F18*(S47-'⚙ Parámetros'!E18))),1)+20/100*MAX('⚙ Parámetros'!D18/(1+2^(-'⚙ Parámetros'!C18*(T47-'⚙ Parámetros'!B18))),'⚙ Parámetros'!G18/(1+2^(-'⚙ Parámetros'!F18*(T47-'⚙ Parámetros'!E18))),1)+20/100*MAX('⚙ Parámetros'!D18/(1+2^(-'⚙ Parámetros'!C18*(U47-'⚙ Parámetros'!B18))),'⚙ Parámetros'!G18/(1+2^(-'⚙ Parámetros'!F18*(U47-'⚙ Parámetros'!E18))),1)),0)</f>
        <v>5</v>
      </c>
      <c r="AF47" s="80">
        <f>IFERROR((30/100*MAX('⚙ Parámetros'!D19/(1+2^(-'⚙ Parámetros'!C19*(V47-'⚙ Parámetros'!B19))),'⚙ Parámetros'!G19/(1+2^(-'⚙ Parámetros'!F19*(V47-'⚙ Parámetros'!E19))),1)*V47+35/100*MAX('⚙ Parámetros'!D19/(1+2^(-'⚙ Parámetros'!C19*(W47-'⚙ Parámetros'!B19))),'⚙ Parámetros'!G19/(1+2^(-'⚙ Parámetros'!F19*(W47-'⚙ Parámetros'!E19))),1)*W47+35/100*MAX('⚙ Parámetros'!D19/(1+2^(-'⚙ Parámetros'!C19*(X47-'⚙ Parámetros'!B19))),'⚙ Parámetros'!G19/(1+2^(-'⚙ Parámetros'!F19*(X47-'⚙ Parámetros'!E19))),1)*X47)/(30/100*MAX('⚙ Parámetros'!D19/(1+2^(-'⚙ Parámetros'!C19*(V47-'⚙ Parámetros'!B19))),'⚙ Parámetros'!G19/(1+2^(-'⚙ Parámetros'!F19*(V47-'⚙ Parámetros'!E19))),1)+35/100*MAX('⚙ Parámetros'!D19/(1+2^(-'⚙ Parámetros'!C19*(W47-'⚙ Parámetros'!B19))),'⚙ Parámetros'!G19/(1+2^(-'⚙ Parámetros'!F19*(W47-'⚙ Parámetros'!E19))),1)+35/100*MAX('⚙ Parámetros'!D19/(1+2^(-'⚙ Parámetros'!C19*(X47-'⚙ Parámetros'!B19))),'⚙ Parámetros'!G19/(1+2^(-'⚙ Parámetros'!F19*(X47-'⚙ Parámetros'!E19))),1)),0)</f>
        <v>5.7368421052631575</v>
      </c>
      <c r="AG47" s="80">
        <f>IFERROR((35/100*MAX('⚙ Parámetros'!D20/(1+2^(-'⚙ Parámetros'!C20*(Y47-'⚙ Parámetros'!B20))),'⚙ Parámetros'!G20/(1+2^(-'⚙ Parámetros'!F20*(Y47-'⚙ Parámetros'!E20))),1)*Y47+35/100*MAX('⚙ Parámetros'!D20/(1+2^(-'⚙ Parámetros'!C20*(Z47-'⚙ Parámetros'!B20))),'⚙ Parámetros'!G20/(1+2^(-'⚙ Parámetros'!F20*(Z47-'⚙ Parámetros'!E20))),1)*Z47+30/100*MAX('⚙ Parámetros'!D20/(1+2^(-'⚙ Parámetros'!C20*(AA47-'⚙ Parámetros'!B20))),'⚙ Parámetros'!G20/(1+2^(-'⚙ Parámetros'!F20*(AA47-'⚙ Parámetros'!E20))),1)*AA47)/(35/100*MAX('⚙ Parámetros'!D20/(1+2^(-'⚙ Parámetros'!C20*(Y47-'⚙ Parámetros'!B20))),'⚙ Parámetros'!G20/(1+2^(-'⚙ Parámetros'!F20*(Y47-'⚙ Parámetros'!E20))),1)+35/100*MAX('⚙ Parámetros'!D20/(1+2^(-'⚙ Parámetros'!C20*(Z47-'⚙ Parámetros'!B20))),'⚙ Parámetros'!G20/(1+2^(-'⚙ Parámetros'!F20*(Z47-'⚙ Parámetros'!E20))),1)+30/100*MAX('⚙ Parámetros'!D20/(1+2^(-'⚙ Parámetros'!C20*(AA47-'⚙ Parámetros'!B20))),'⚙ Parámetros'!G20/(1+2^(-'⚙ Parámetros'!F20*(AA47-'⚙ Parámetros'!E20))),1)),0)</f>
        <v>3.7272727272727275</v>
      </c>
      <c r="AH47" s="81">
        <f>('⚙ Parámetros'!B5/100*AB47+'⚙ Parámetros'!B6/100*AC47+'⚙ Parámetros'!B7/100*AD47+'⚙ Parámetros'!B8/100*AE47+'⚙ Parámetros'!B9/100*AF47+'⚙ Parámetros'!B10/100*AG47)</f>
        <v>4.7421421582444943</v>
      </c>
      <c r="AI47" s="33">
        <f ca="1">MIN(1+MAX(0,TODAY()-DATE(2024,9,12))/365*'⚙ Parámetros'!B33,'⚙ Parámetros'!B34)</f>
        <v>1.25</v>
      </c>
      <c r="AJ47" s="82">
        <f t="shared" ca="1" si="2"/>
        <v>5.9276776978056178</v>
      </c>
      <c r="AK47" s="83" t="str">
        <f ca="1">IF(AB47&gt;='⚙ Parámetros'!B23,"⚑ AUTO-PRIOR.(D1≥8)",IF(AJ47&gt;='⚙ Parámetros'!B23,"PRIORITARIO",IF(AJ47&gt;='⚙ Parámetros'!B24,"ALTA PRIORIDAD",IF(AJ47&gt;='⚙ Parámetros'!B25,"PRIORIDAD MEDIA",IF(AJ47&gt;='⚙ Parámetros'!B26,"BAJA PRIORIDAD","DESCARTAR")))))</f>
        <v>PRIORIDAD MEDIA</v>
      </c>
      <c r="AL47" s="84" t="str">
        <f t="shared" si="3"/>
        <v>—</v>
      </c>
      <c r="AM47" s="85">
        <v>34</v>
      </c>
      <c r="AN47" s="83" t="str">
        <f>IF(AM47="","—",IF(AM47&lt;'⚙ Parámetros'!B29,"🟢 Corto",IF(AM47&lt;'⚙ Parámetros'!B30,"🟡 Medio","🔴 Largo")))</f>
        <v>🟡 Medio</v>
      </c>
    </row>
    <row r="48" spans="1:40" ht="18.75" customHeight="1" x14ac:dyDescent="0.25">
      <c r="A48" s="69">
        <v>44</v>
      </c>
      <c r="B48" s="30" t="s">
        <v>223</v>
      </c>
      <c r="C48" s="26" t="s">
        <v>135</v>
      </c>
      <c r="D48" s="71" t="s">
        <v>179</v>
      </c>
      <c r="E48" s="72" t="s">
        <v>180</v>
      </c>
      <c r="F48" s="74">
        <v>1</v>
      </c>
      <c r="G48" s="86">
        <v>7</v>
      </c>
      <c r="H48" s="74">
        <v>1</v>
      </c>
      <c r="I48" s="74">
        <v>1</v>
      </c>
      <c r="J48" s="74">
        <v>1</v>
      </c>
      <c r="K48" s="74">
        <v>1</v>
      </c>
      <c r="L48" s="74">
        <v>1</v>
      </c>
      <c r="M48" s="86">
        <v>3</v>
      </c>
      <c r="N48" s="74">
        <v>1</v>
      </c>
      <c r="O48" s="86">
        <v>6</v>
      </c>
      <c r="P48" s="74">
        <v>1</v>
      </c>
      <c r="Q48" s="74">
        <v>1</v>
      </c>
      <c r="R48" s="76">
        <v>9</v>
      </c>
      <c r="S48" s="76">
        <v>9</v>
      </c>
      <c r="T48" s="86">
        <v>5</v>
      </c>
      <c r="U48" s="86">
        <v>5</v>
      </c>
      <c r="V48" s="77">
        <v>8</v>
      </c>
      <c r="W48" s="86">
        <v>6</v>
      </c>
      <c r="X48" s="77">
        <v>9</v>
      </c>
      <c r="Y48" s="86">
        <v>4</v>
      </c>
      <c r="Z48" s="74">
        <v>2</v>
      </c>
      <c r="AA48" s="78">
        <v>8</v>
      </c>
      <c r="AB48" s="89">
        <f>IFERROR((30/100*MAX('⚙ Parámetros'!D15/(1+2^(-'⚙ Parámetros'!C15*(F48-'⚙ Parámetros'!B15))),'⚙ Parámetros'!G15/(1+2^(-'⚙ Parámetros'!F15*(F48-'⚙ Parámetros'!E15))),1)*F48+30/100*MAX('⚙ Parámetros'!D15/(1+2^(-'⚙ Parámetros'!C15*(G48-'⚙ Parámetros'!B15))),'⚙ Parámetros'!G15/(1+2^(-'⚙ Parámetros'!F15*(G48-'⚙ Parámetros'!E15))),1)*G48+20/100*MAX('⚙ Parámetros'!D15/(1+2^(-'⚙ Parámetros'!C15*(H48-'⚙ Parámetros'!B15))),'⚙ Parámetros'!G15/(1+2^(-'⚙ Parámetros'!F15*(H48-'⚙ Parámetros'!E15))),1)*H48+20/100*MAX('⚙ Parámetros'!D15/(1+2^(-'⚙ Parámetros'!C15*(I48-'⚙ Parámetros'!B15))),'⚙ Parámetros'!G15/(1+2^(-'⚙ Parámetros'!F15*(I48-'⚙ Parámetros'!E15))),1)*I48)/(30/100*MAX('⚙ Parámetros'!D15/(1+2^(-'⚙ Parámetros'!C15*(F48-'⚙ Parámetros'!B15))),'⚙ Parámetros'!G15/(1+2^(-'⚙ Parámetros'!F15*(F48-'⚙ Parámetros'!E15))),1)+30/100*MAX('⚙ Parámetros'!D15/(1+2^(-'⚙ Parámetros'!C15*(G48-'⚙ Parámetros'!B15))),'⚙ Parámetros'!G15/(1+2^(-'⚙ Parámetros'!F15*(G48-'⚙ Parámetros'!E15))),1)+20/100*MAX('⚙ Parámetros'!D15/(1+2^(-'⚙ Parámetros'!C15*(H48-'⚙ Parámetros'!B15))),'⚙ Parámetros'!G15/(1+2^(-'⚙ Parámetros'!F15*(H48-'⚙ Parámetros'!E15))),1)+20/100*MAX('⚙ Parámetros'!D15/(1+2^(-'⚙ Parámetros'!C15*(I48-'⚙ Parámetros'!B15))),'⚙ Parámetros'!G15/(1+2^(-'⚙ Parámetros'!F15*(I48-'⚙ Parámetros'!E15))),1)),0)</f>
        <v>4.9512195121951219</v>
      </c>
      <c r="AC48" s="89">
        <f>IFERROR((35/100*MAX('⚙ Parámetros'!D16/(1+2^(-'⚙ Parámetros'!C16*(J48-'⚙ Parámetros'!B16))),'⚙ Parámetros'!G16/(1+2^(-'⚙ Parámetros'!F16*(J48-'⚙ Parámetros'!E16))),1)*J48+25/100*MAX('⚙ Parámetros'!D16/(1+2^(-'⚙ Parámetros'!C16*(K48-'⚙ Parámetros'!B16))),'⚙ Parámetros'!G16/(1+2^(-'⚙ Parámetros'!F16*(K48-'⚙ Parámetros'!E16))),1)*K48+20/100*MAX('⚙ Parámetros'!D16/(1+2^(-'⚙ Parámetros'!C16*(L48-'⚙ Parámetros'!B16))),'⚙ Parámetros'!G16/(1+2^(-'⚙ Parámetros'!F16*(L48-'⚙ Parámetros'!E16))),1)*L48+20/100*MAX('⚙ Parámetros'!D16/(1+2^(-'⚙ Parámetros'!C16*(M48-'⚙ Parámetros'!B16))),'⚙ Parámetros'!G16/(1+2^(-'⚙ Parámetros'!F16*(M48-'⚙ Parámetros'!E16))),1)*M48)/(35/100*MAX('⚙ Parámetros'!D16/(1+2^(-'⚙ Parámetros'!C16*(J48-'⚙ Parámetros'!B16))),'⚙ Parámetros'!G16/(1+2^(-'⚙ Parámetros'!F16*(J48-'⚙ Parámetros'!E16))),1)+25/100*MAX('⚙ Parámetros'!D16/(1+2^(-'⚙ Parámetros'!C16*(K48-'⚙ Parámetros'!B16))),'⚙ Parámetros'!G16/(1+2^(-'⚙ Parámetros'!F16*(K48-'⚙ Parámetros'!E16))),1)+20/100*MAX('⚙ Parámetros'!D16/(1+2^(-'⚙ Parámetros'!C16*(L48-'⚙ Parámetros'!B16))),'⚙ Parámetros'!G16/(1+2^(-'⚙ Parámetros'!F16*(L48-'⚙ Parámetros'!E16))),1)+20/100*MAX('⚙ Parámetros'!D16/(1+2^(-'⚙ Parámetros'!C16*(M48-'⚙ Parámetros'!B16))),'⚙ Parámetros'!G16/(1+2^(-'⚙ Parámetros'!F16*(M48-'⚙ Parámetros'!E16))),1)),0)</f>
        <v>1.4000000000000001</v>
      </c>
      <c r="AD48" s="89">
        <f>IFERROR((30/100*MAX('⚙ Parámetros'!D17/(1+2^(-'⚙ Parámetros'!C17*(N48-'⚙ Parámetros'!B17))),'⚙ Parámetros'!G17/(1+2^(-'⚙ Parámetros'!F17*(N48-'⚙ Parámetros'!E17))),1)*N48+25/100*MAX('⚙ Parámetros'!D17/(1+2^(-'⚙ Parámetros'!C17*(O48-'⚙ Parámetros'!B17))),'⚙ Parámetros'!G17/(1+2^(-'⚙ Parámetros'!F17*(O48-'⚙ Parámetros'!E17))),1)*O48+25/100*MAX('⚙ Parámetros'!D17/(1+2^(-'⚙ Parámetros'!C17*(P48-'⚙ Parámetros'!B17))),'⚙ Parámetros'!G17/(1+2^(-'⚙ Parámetros'!F17*(P48-'⚙ Parámetros'!E17))),1)*P48+20/100*MAX('⚙ Parámetros'!D17/(1+2^(-'⚙ Parámetros'!C17*(Q48-'⚙ Parámetros'!B17))),'⚙ Parámetros'!G17/(1+2^(-'⚙ Parámetros'!F17*(Q48-'⚙ Parámetros'!E17))),1)*Q48)/(30/100*MAX('⚙ Parámetros'!D17/(1+2^(-'⚙ Parámetros'!C17*(N48-'⚙ Parámetros'!B17))),'⚙ Parámetros'!G17/(1+2^(-'⚙ Parámetros'!F17*(N48-'⚙ Parámetros'!E17))),1)+25/100*MAX('⚙ Parámetros'!D17/(1+2^(-'⚙ Parámetros'!C17*(O48-'⚙ Parámetros'!B17))),'⚙ Parámetros'!G17/(1+2^(-'⚙ Parámetros'!F17*(O48-'⚙ Parámetros'!E17))),1)+25/100*MAX('⚙ Parámetros'!D17/(1+2^(-'⚙ Parámetros'!C17*(P48-'⚙ Parámetros'!B17))),'⚙ Parámetros'!G17/(1+2^(-'⚙ Parámetros'!F17*(P48-'⚙ Parámetros'!E17))),1)+20/100*MAX('⚙ Parámetros'!D17/(1+2^(-'⚙ Parámetros'!C17*(Q48-'⚙ Parámetros'!B17))),'⚙ Parámetros'!G17/(1+2^(-'⚙ Parámetros'!F17*(Q48-'⚙ Parámetros'!E17))),1)),0)</f>
        <v>3.2222222222222223</v>
      </c>
      <c r="AE48" s="89">
        <f>IFERROR((30/100*MAX('⚙ Parámetros'!D18/(1+2^(-'⚙ Parámetros'!C18*(R48-'⚙ Parámetros'!B18))),'⚙ Parámetros'!G18/(1+2^(-'⚙ Parámetros'!F18*(R48-'⚙ Parámetros'!E18))),1)*R48+30/100*MAX('⚙ Parámetros'!D18/(1+2^(-'⚙ Parámetros'!C18*(S48-'⚙ Parámetros'!B18))),'⚙ Parámetros'!G18/(1+2^(-'⚙ Parámetros'!F18*(S48-'⚙ Parámetros'!E18))),1)*S48+20/100*MAX('⚙ Parámetros'!D18/(1+2^(-'⚙ Parámetros'!C18*(T48-'⚙ Parámetros'!B18))),'⚙ Parámetros'!G18/(1+2^(-'⚙ Parámetros'!F18*(T48-'⚙ Parámetros'!E18))),1)*T48+20/100*MAX('⚙ Parámetros'!D18/(1+2^(-'⚙ Parámetros'!C18*(U48-'⚙ Parámetros'!B18))),'⚙ Parámetros'!G18/(1+2^(-'⚙ Parámetros'!F18*(U48-'⚙ Parámetros'!E18))),1)*U48)/(30/100*MAX('⚙ Parámetros'!D18/(1+2^(-'⚙ Parámetros'!C18*(R48-'⚙ Parámetros'!B18))),'⚙ Parámetros'!G18/(1+2^(-'⚙ Parámetros'!F18*(R48-'⚙ Parámetros'!E18))),1)+30/100*MAX('⚙ Parámetros'!D18/(1+2^(-'⚙ Parámetros'!C18*(S48-'⚙ Parámetros'!B18))),'⚙ Parámetros'!G18/(1+2^(-'⚙ Parámetros'!F18*(S48-'⚙ Parámetros'!E18))),1)+20/100*MAX('⚙ Parámetros'!D18/(1+2^(-'⚙ Parámetros'!C18*(T48-'⚙ Parámetros'!B18))),'⚙ Parámetros'!G18/(1+2^(-'⚙ Parámetros'!F18*(T48-'⚙ Parámetros'!E18))),1)+20/100*MAX('⚙ Parámetros'!D18/(1+2^(-'⚙ Parámetros'!C18*(U48-'⚙ Parámetros'!B18))),'⚙ Parámetros'!G18/(1+2^(-'⚙ Parámetros'!F18*(U48-'⚙ Parámetros'!E18))),1)),0)</f>
        <v>8.1801060365339655</v>
      </c>
      <c r="AF48" s="89">
        <f>IFERROR((30/100*MAX('⚙ Parámetros'!D19/(1+2^(-'⚙ Parámetros'!C19*(V48-'⚙ Parámetros'!B19))),'⚙ Parámetros'!G19/(1+2^(-'⚙ Parámetros'!F19*(V48-'⚙ Parámetros'!E19))),1)*V48+35/100*MAX('⚙ Parámetros'!D19/(1+2^(-'⚙ Parámetros'!C19*(W48-'⚙ Parámetros'!B19))),'⚙ Parámetros'!G19/(1+2^(-'⚙ Parámetros'!F19*(W48-'⚙ Parámetros'!E19))),1)*W48+35/100*MAX('⚙ Parámetros'!D19/(1+2^(-'⚙ Parámetros'!C19*(X48-'⚙ Parámetros'!B19))),'⚙ Parámetros'!G19/(1+2^(-'⚙ Parámetros'!F19*(X48-'⚙ Parámetros'!E19))),1)*X48)/(30/100*MAX('⚙ Parámetros'!D19/(1+2^(-'⚙ Parámetros'!C19*(V48-'⚙ Parámetros'!B19))),'⚙ Parámetros'!G19/(1+2^(-'⚙ Parámetros'!F19*(V48-'⚙ Parámetros'!E19))),1)+35/100*MAX('⚙ Parámetros'!D19/(1+2^(-'⚙ Parámetros'!C19*(W48-'⚙ Parámetros'!B19))),'⚙ Parámetros'!G19/(1+2^(-'⚙ Parámetros'!F19*(W48-'⚙ Parámetros'!E19))),1)+35/100*MAX('⚙ Parámetros'!D19/(1+2^(-'⚙ Parámetros'!C19*(X48-'⚙ Parámetros'!B19))),'⚙ Parámetros'!G19/(1+2^(-'⚙ Parámetros'!F19*(X48-'⚙ Parámetros'!E19))),1)),0)</f>
        <v>8.0351483057098907</v>
      </c>
      <c r="AG48" s="89">
        <f>IFERROR((35/100*MAX('⚙ Parámetros'!D20/(1+2^(-'⚙ Parámetros'!C20*(Y48-'⚙ Parámetros'!B20))),'⚙ Parámetros'!G20/(1+2^(-'⚙ Parámetros'!F20*(Y48-'⚙ Parámetros'!E20))),1)*Y48+35/100*MAX('⚙ Parámetros'!D20/(1+2^(-'⚙ Parámetros'!C20*(Z48-'⚙ Parámetros'!B20))),'⚙ Parámetros'!G20/(1+2^(-'⚙ Parámetros'!F20*(Z48-'⚙ Parámetros'!E20))),1)*Z48+30/100*MAX('⚙ Parámetros'!D20/(1+2^(-'⚙ Parámetros'!C20*(AA48-'⚙ Parámetros'!B20))),'⚙ Parámetros'!G20/(1+2^(-'⚙ Parámetros'!F20*(AA48-'⚙ Parámetros'!E20))),1)*AA48)/(35/100*MAX('⚙ Parámetros'!D20/(1+2^(-'⚙ Parámetros'!C20*(Y48-'⚙ Parámetros'!B20))),'⚙ Parámetros'!G20/(1+2^(-'⚙ Parámetros'!F20*(Y48-'⚙ Parámetros'!E20))),1)+35/100*MAX('⚙ Parámetros'!D20/(1+2^(-'⚙ Parámetros'!C20*(Z48-'⚙ Parámetros'!B20))),'⚙ Parámetros'!G20/(1+2^(-'⚙ Parámetros'!F20*(Z48-'⚙ Parámetros'!E20))),1)+30/100*MAX('⚙ Parámetros'!D20/(1+2^(-'⚙ Parámetros'!C20*(AA48-'⚙ Parámetros'!B20))),'⚙ Parámetros'!G20/(1+2^(-'⚙ Parámetros'!F20*(AA48-'⚙ Parámetros'!E20))),1)),0)</f>
        <v>5.8125</v>
      </c>
      <c r="AH48" s="90">
        <f>('⚙ Parámetros'!B5/100*AB48+'⚙ Parámetros'!B6/100*AC48+'⚙ Parámetros'!B7/100*AD48+'⚙ Parámetros'!B8/100*AE48+'⚙ Parámetros'!B9/100*AF48+'⚙ Parámetros'!B10/100*AG48)</f>
        <v>4.6599378530580466</v>
      </c>
      <c r="AI48" s="91">
        <f ca="1">MIN(1+MAX(0,TODAY()-DATE(2026,2,2))/365*'⚙ Parámetros'!B33,'⚙ Parámetros'!B34)</f>
        <v>1.0534246575342465</v>
      </c>
      <c r="AJ48" s="82">
        <f t="shared" ca="1" si="2"/>
        <v>4.9088934369885449</v>
      </c>
      <c r="AK48" s="92" t="str">
        <f ca="1">IF(AB48&gt;='⚙ Parámetros'!B23,"⚑ AUTO-PRIOR.(D1≥8)",IF(AJ48&gt;='⚙ Parámetros'!B23,"PRIORITARIO",IF(AJ48&gt;='⚙ Parámetros'!B24,"ALTA PRIORIDAD",IF(AJ48&gt;='⚙ Parámetros'!B25,"PRIORIDAD MEDIA",IF(AJ48&gt;='⚙ Parámetros'!B26,"BAJA PRIORIDAD","DESCARTAR")))))</f>
        <v>BAJA PRIORIDAD</v>
      </c>
      <c r="AL48" s="69" t="str">
        <f t="shared" si="3"/>
        <v>—</v>
      </c>
      <c r="AM48" s="85">
        <v>12</v>
      </c>
      <c r="AN48" s="83" t="str">
        <f>IF(AM48="","—",IF(AM48&lt;'⚙ Parámetros'!B29,"🟢 Corto",IF(AM48&lt;'⚙ Parámetros'!B30,"🟡 Medio","🔴 Largo")))</f>
        <v>🟢 Corto</v>
      </c>
    </row>
    <row r="49" spans="1:40" ht="18.75" customHeight="1" x14ac:dyDescent="0.25">
      <c r="A49" s="69">
        <v>45</v>
      </c>
      <c r="B49" s="70" t="s">
        <v>224</v>
      </c>
      <c r="C49" s="4" t="s">
        <v>135</v>
      </c>
      <c r="D49" s="71" t="s">
        <v>139</v>
      </c>
      <c r="E49" s="72" t="s">
        <v>154</v>
      </c>
      <c r="F49" s="74">
        <v>1</v>
      </c>
      <c r="G49" s="74">
        <v>1</v>
      </c>
      <c r="H49" s="73">
        <v>5</v>
      </c>
      <c r="I49" s="74">
        <v>1</v>
      </c>
      <c r="J49" s="73">
        <v>6</v>
      </c>
      <c r="K49" s="74">
        <v>1</v>
      </c>
      <c r="L49" s="74">
        <v>1</v>
      </c>
      <c r="M49" s="73">
        <v>3</v>
      </c>
      <c r="N49" s="73">
        <v>7</v>
      </c>
      <c r="O49" s="74">
        <v>1</v>
      </c>
      <c r="P49" s="73">
        <v>7</v>
      </c>
      <c r="Q49" s="74">
        <v>1</v>
      </c>
      <c r="R49" s="76">
        <v>9</v>
      </c>
      <c r="S49" s="76">
        <v>9</v>
      </c>
      <c r="T49" s="73">
        <v>5</v>
      </c>
      <c r="U49" s="73">
        <v>5</v>
      </c>
      <c r="V49" s="77">
        <v>8</v>
      </c>
      <c r="W49" s="73">
        <v>6</v>
      </c>
      <c r="X49" s="77">
        <v>9</v>
      </c>
      <c r="Y49" s="73">
        <v>4</v>
      </c>
      <c r="Z49" s="74">
        <v>2</v>
      </c>
      <c r="AA49" s="73">
        <v>5</v>
      </c>
      <c r="AB49" s="80">
        <f>IFERROR((30/100*MAX('⚙ Parámetros'!D15/(1+2^(-'⚙ Parámetros'!C15*(F49-'⚙ Parámetros'!B15))),'⚙ Parámetros'!G15/(1+2^(-'⚙ Parámetros'!F15*(F49-'⚙ Parámetros'!E15))),1)*F49+30/100*MAX('⚙ Parámetros'!D15/(1+2^(-'⚙ Parámetros'!C15*(G49-'⚙ Parámetros'!B15))),'⚙ Parámetros'!G15/(1+2^(-'⚙ Parámetros'!F15*(G49-'⚙ Parámetros'!E15))),1)*G49+20/100*MAX('⚙ Parámetros'!D15/(1+2^(-'⚙ Parámetros'!C15*(H49-'⚙ Parámetros'!B15))),'⚙ Parámetros'!G15/(1+2^(-'⚙ Parámetros'!F15*(H49-'⚙ Parámetros'!E15))),1)*H49+20/100*MAX('⚙ Parámetros'!D15/(1+2^(-'⚙ Parámetros'!C15*(I49-'⚙ Parámetros'!B15))),'⚙ Parámetros'!G15/(1+2^(-'⚙ Parámetros'!F15*(I49-'⚙ Parámetros'!E15))),1)*I49)/(30/100*MAX('⚙ Parámetros'!D15/(1+2^(-'⚙ Parámetros'!C15*(F49-'⚙ Parámetros'!B15))),'⚙ Parámetros'!G15/(1+2^(-'⚙ Parámetros'!F15*(F49-'⚙ Parámetros'!E15))),1)+30/100*MAX('⚙ Parámetros'!D15/(1+2^(-'⚙ Parámetros'!C15*(G49-'⚙ Parámetros'!B15))),'⚙ Parámetros'!G15/(1+2^(-'⚙ Parámetros'!F15*(G49-'⚙ Parámetros'!E15))),1)+20/100*MAX('⚙ Parámetros'!D15/(1+2^(-'⚙ Parámetros'!C15*(H49-'⚙ Parámetros'!B15))),'⚙ Parámetros'!G15/(1+2^(-'⚙ Parámetros'!F15*(H49-'⚙ Parámetros'!E15))),1)+20/100*MAX('⚙ Parámetros'!D15/(1+2^(-'⚙ Parámetros'!C15*(I49-'⚙ Parámetros'!B15))),'⚙ Parámetros'!G15/(1+2^(-'⚙ Parámetros'!F15*(I49-'⚙ Parámetros'!E15))),1)),0)</f>
        <v>2.1428571428571428</v>
      </c>
      <c r="AC49" s="80">
        <f>IFERROR((35/100*MAX('⚙ Parámetros'!D16/(1+2^(-'⚙ Parámetros'!C16*(J49-'⚙ Parámetros'!B16))),'⚙ Parámetros'!G16/(1+2^(-'⚙ Parámetros'!F16*(J49-'⚙ Parámetros'!E16))),1)*J49+25/100*MAX('⚙ Parámetros'!D16/(1+2^(-'⚙ Parámetros'!C16*(K49-'⚙ Parámetros'!B16))),'⚙ Parámetros'!G16/(1+2^(-'⚙ Parámetros'!F16*(K49-'⚙ Parámetros'!E16))),1)*K49+20/100*MAX('⚙ Parámetros'!D16/(1+2^(-'⚙ Parámetros'!C16*(L49-'⚙ Parámetros'!B16))),'⚙ Parámetros'!G16/(1+2^(-'⚙ Parámetros'!F16*(L49-'⚙ Parámetros'!E16))),1)*L49+20/100*MAX('⚙ Parámetros'!D16/(1+2^(-'⚙ Parámetros'!C16*(M49-'⚙ Parámetros'!B16))),'⚙ Parámetros'!G16/(1+2^(-'⚙ Parámetros'!F16*(M49-'⚙ Parámetros'!E16))),1)*M49)/(35/100*MAX('⚙ Parámetros'!D16/(1+2^(-'⚙ Parámetros'!C16*(J49-'⚙ Parámetros'!B16))),'⚙ Parámetros'!G16/(1+2^(-'⚙ Parámetros'!F16*(J49-'⚙ Parámetros'!E16))),1)+25/100*MAX('⚙ Parámetros'!D16/(1+2^(-'⚙ Parámetros'!C16*(K49-'⚙ Parámetros'!B16))),'⚙ Parámetros'!G16/(1+2^(-'⚙ Parámetros'!F16*(K49-'⚙ Parámetros'!E16))),1)+20/100*MAX('⚙ Parámetros'!D16/(1+2^(-'⚙ Parámetros'!C16*(L49-'⚙ Parámetros'!B16))),'⚙ Parámetros'!G16/(1+2^(-'⚙ Parámetros'!F16*(L49-'⚙ Parámetros'!E16))),1)+20/100*MAX('⚙ Parámetros'!D16/(1+2^(-'⚙ Parámetros'!C16*(M49-'⚙ Parámetros'!B16))),'⚙ Parámetros'!G16/(1+2^(-'⚙ Parámetros'!F16*(M49-'⚙ Parámetros'!E16))),1)),0)</f>
        <v>4.0872483221476514</v>
      </c>
      <c r="AD49" s="80">
        <f>IFERROR((30/100*MAX('⚙ Parámetros'!D17/(1+2^(-'⚙ Parámetros'!C17*(N49-'⚙ Parámetros'!B17))),'⚙ Parámetros'!G17/(1+2^(-'⚙ Parámetros'!F17*(N49-'⚙ Parámetros'!E17))),1)*N49+25/100*MAX('⚙ Parámetros'!D17/(1+2^(-'⚙ Parámetros'!C17*(O49-'⚙ Parámetros'!B17))),'⚙ Parámetros'!G17/(1+2^(-'⚙ Parámetros'!F17*(O49-'⚙ Parámetros'!E17))),1)*O49+25/100*MAX('⚙ Parámetros'!D17/(1+2^(-'⚙ Parámetros'!C17*(P49-'⚙ Parámetros'!B17))),'⚙ Parámetros'!G17/(1+2^(-'⚙ Parámetros'!F17*(P49-'⚙ Parámetros'!E17))),1)*P49+20/100*MAX('⚙ Parámetros'!D17/(1+2^(-'⚙ Parámetros'!C17*(Q49-'⚙ Parámetros'!B17))),'⚙ Parámetros'!G17/(1+2^(-'⚙ Parámetros'!F17*(Q49-'⚙ Parámetros'!E17))),1)*Q49)/(30/100*MAX('⚙ Parámetros'!D17/(1+2^(-'⚙ Parámetros'!C17*(N49-'⚙ Parámetros'!B17))),'⚙ Parámetros'!G17/(1+2^(-'⚙ Parámetros'!F17*(N49-'⚙ Parámetros'!E17))),1)+25/100*MAX('⚙ Parámetros'!D17/(1+2^(-'⚙ Parámetros'!C17*(O49-'⚙ Parámetros'!B17))),'⚙ Parámetros'!G17/(1+2^(-'⚙ Parámetros'!F17*(O49-'⚙ Parámetros'!E17))),1)+25/100*MAX('⚙ Parámetros'!D17/(1+2^(-'⚙ Parámetros'!C17*(P49-'⚙ Parámetros'!B17))),'⚙ Parámetros'!G17/(1+2^(-'⚙ Parámetros'!F17*(P49-'⚙ Parámetros'!E17))),1)+20/100*MAX('⚙ Parámetros'!D17/(1+2^(-'⚙ Parámetros'!C17*(Q49-'⚙ Parámetros'!B17))),'⚙ Parámetros'!G17/(1+2^(-'⚙ Parámetros'!F17*(Q49-'⚙ Parámetros'!E17))),1)),0)</f>
        <v>5.5913043478260871</v>
      </c>
      <c r="AE49" s="80">
        <f>IFERROR((30/100*MAX('⚙ Parámetros'!D18/(1+2^(-'⚙ Parámetros'!C18*(R49-'⚙ Parámetros'!B18))),'⚙ Parámetros'!G18/(1+2^(-'⚙ Parámetros'!F18*(R49-'⚙ Parámetros'!E18))),1)*R49+30/100*MAX('⚙ Parámetros'!D18/(1+2^(-'⚙ Parámetros'!C18*(S49-'⚙ Parámetros'!B18))),'⚙ Parámetros'!G18/(1+2^(-'⚙ Parámetros'!F18*(S49-'⚙ Parámetros'!E18))),1)*S49+20/100*MAX('⚙ Parámetros'!D18/(1+2^(-'⚙ Parámetros'!C18*(T49-'⚙ Parámetros'!B18))),'⚙ Parámetros'!G18/(1+2^(-'⚙ Parámetros'!F18*(T49-'⚙ Parámetros'!E18))),1)*T49+20/100*MAX('⚙ Parámetros'!D18/(1+2^(-'⚙ Parámetros'!C18*(U49-'⚙ Parámetros'!B18))),'⚙ Parámetros'!G18/(1+2^(-'⚙ Parámetros'!F18*(U49-'⚙ Parámetros'!E18))),1)*U49)/(30/100*MAX('⚙ Parámetros'!D18/(1+2^(-'⚙ Parámetros'!C18*(R49-'⚙ Parámetros'!B18))),'⚙ Parámetros'!G18/(1+2^(-'⚙ Parámetros'!F18*(R49-'⚙ Parámetros'!E18))),1)+30/100*MAX('⚙ Parámetros'!D18/(1+2^(-'⚙ Parámetros'!C18*(S49-'⚙ Parámetros'!B18))),'⚙ Parámetros'!G18/(1+2^(-'⚙ Parámetros'!F18*(S49-'⚙ Parámetros'!E18))),1)+20/100*MAX('⚙ Parámetros'!D18/(1+2^(-'⚙ Parámetros'!C18*(T49-'⚙ Parámetros'!B18))),'⚙ Parámetros'!G18/(1+2^(-'⚙ Parámetros'!F18*(T49-'⚙ Parámetros'!E18))),1)+20/100*MAX('⚙ Parámetros'!D18/(1+2^(-'⚙ Parámetros'!C18*(U49-'⚙ Parámetros'!B18))),'⚙ Parámetros'!G18/(1+2^(-'⚙ Parámetros'!F18*(U49-'⚙ Parámetros'!E18))),1)),0)</f>
        <v>8.1801060365339655</v>
      </c>
      <c r="AF49" s="80">
        <f>IFERROR((30/100*MAX('⚙ Parámetros'!D19/(1+2^(-'⚙ Parámetros'!C19*(V49-'⚙ Parámetros'!B19))),'⚙ Parámetros'!G19/(1+2^(-'⚙ Parámetros'!F19*(V49-'⚙ Parámetros'!E19))),1)*V49+35/100*MAX('⚙ Parámetros'!D19/(1+2^(-'⚙ Parámetros'!C19*(W49-'⚙ Parámetros'!B19))),'⚙ Parámetros'!G19/(1+2^(-'⚙ Parámetros'!F19*(W49-'⚙ Parámetros'!E19))),1)*W49+35/100*MAX('⚙ Parámetros'!D19/(1+2^(-'⚙ Parámetros'!C19*(X49-'⚙ Parámetros'!B19))),'⚙ Parámetros'!G19/(1+2^(-'⚙ Parámetros'!F19*(X49-'⚙ Parámetros'!E19))),1)*X49)/(30/100*MAX('⚙ Parámetros'!D19/(1+2^(-'⚙ Parámetros'!C19*(V49-'⚙ Parámetros'!B19))),'⚙ Parámetros'!G19/(1+2^(-'⚙ Parámetros'!F19*(V49-'⚙ Parámetros'!E19))),1)+35/100*MAX('⚙ Parámetros'!D19/(1+2^(-'⚙ Parámetros'!C19*(W49-'⚙ Parámetros'!B19))),'⚙ Parámetros'!G19/(1+2^(-'⚙ Parámetros'!F19*(W49-'⚙ Parámetros'!E19))),1)+35/100*MAX('⚙ Parámetros'!D19/(1+2^(-'⚙ Parámetros'!C19*(X49-'⚙ Parámetros'!B19))),'⚙ Parámetros'!G19/(1+2^(-'⚙ Parámetros'!F19*(X49-'⚙ Parámetros'!E19))),1)),0)</f>
        <v>8.0351483057098907</v>
      </c>
      <c r="AG49" s="80">
        <f>IFERROR((35/100*MAX('⚙ Parámetros'!D20/(1+2^(-'⚙ Parámetros'!C20*(Y49-'⚙ Parámetros'!B20))),'⚙ Parámetros'!G20/(1+2^(-'⚙ Parámetros'!F20*(Y49-'⚙ Parámetros'!E20))),1)*Y49+35/100*MAX('⚙ Parámetros'!D20/(1+2^(-'⚙ Parámetros'!C20*(Z49-'⚙ Parámetros'!B20))),'⚙ Parámetros'!G20/(1+2^(-'⚙ Parámetros'!F20*(Z49-'⚙ Parámetros'!E20))),1)*Z49+30/100*MAX('⚙ Parámetros'!D20/(1+2^(-'⚙ Parámetros'!C20*(AA49-'⚙ Parámetros'!B20))),'⚙ Parámetros'!G20/(1+2^(-'⚙ Parámetros'!F20*(AA49-'⚙ Parámetros'!E20))),1)*AA49)/(35/100*MAX('⚙ Parámetros'!D20/(1+2^(-'⚙ Parámetros'!C20*(Y49-'⚙ Parámetros'!B20))),'⚙ Parámetros'!G20/(1+2^(-'⚙ Parámetros'!F20*(Y49-'⚙ Parámetros'!E20))),1)+35/100*MAX('⚙ Parámetros'!D20/(1+2^(-'⚙ Parámetros'!C20*(Z49-'⚙ Parámetros'!B20))),'⚙ Parámetros'!G20/(1+2^(-'⚙ Parámetros'!F20*(Z49-'⚙ Parámetros'!E20))),1)+30/100*MAX('⚙ Parámetros'!D20/(1+2^(-'⚙ Parámetros'!C20*(AA49-'⚙ Parámetros'!B20))),'⚙ Parámetros'!G20/(1+2^(-'⚙ Parámetros'!F20*(AA49-'⚙ Parámetros'!E20))),1)),0)</f>
        <v>3.7272727272727275</v>
      </c>
      <c r="AH49" s="81">
        <f>('⚙ Parámetros'!B5/100*AB49+'⚙ Parámetros'!B6/100*AC49+'⚙ Parámetros'!B7/100*AD49+'⚙ Parámetros'!B8/100*AE49+'⚙ Parámetros'!B9/100*AF49+'⚙ Parámetros'!B10/100*AG49)</f>
        <v>4.6618770499887736</v>
      </c>
      <c r="AI49" s="33">
        <f ca="1">MIN(1+MAX(0,TODAY()-DATE(2024,9,13))/365*'⚙ Parámetros'!B33,'⚙ Parámetros'!B34)</f>
        <v>1.25</v>
      </c>
      <c r="AJ49" s="82">
        <f t="shared" ca="1" si="2"/>
        <v>5.8273463124859672</v>
      </c>
      <c r="AK49" s="83" t="str">
        <f ca="1">IF(AB49&gt;='⚙ Parámetros'!B23,"⚑ AUTO-PRIOR.(D1≥8)",IF(AJ49&gt;='⚙ Parámetros'!B23,"PRIORITARIO",IF(AJ49&gt;='⚙ Parámetros'!B24,"ALTA PRIORIDAD",IF(AJ49&gt;='⚙ Parámetros'!B25,"PRIORIDAD MEDIA",IF(AJ49&gt;='⚙ Parámetros'!B26,"BAJA PRIORIDAD","DESCARTAR")))))</f>
        <v>PRIORIDAD MEDIA</v>
      </c>
      <c r="AL49" s="84" t="str">
        <f t="shared" si="3"/>
        <v>—</v>
      </c>
      <c r="AM49" s="85">
        <v>13</v>
      </c>
      <c r="AN49" s="83" t="str">
        <f>IF(AM49="","—",IF(AM49&lt;'⚙ Parámetros'!B29,"🟢 Corto",IF(AM49&lt;'⚙ Parámetros'!B30,"🟡 Medio","🔴 Largo")))</f>
        <v>🟢 Corto</v>
      </c>
    </row>
    <row r="50" spans="1:40" ht="18.75" customHeight="1" x14ac:dyDescent="0.25">
      <c r="A50" s="69">
        <v>46</v>
      </c>
      <c r="B50" s="30" t="s">
        <v>225</v>
      </c>
      <c r="C50" s="26" t="s">
        <v>142</v>
      </c>
      <c r="D50" s="71" t="s">
        <v>136</v>
      </c>
      <c r="E50" s="72" t="s">
        <v>226</v>
      </c>
      <c r="F50" s="86">
        <v>6</v>
      </c>
      <c r="G50" s="86">
        <v>5</v>
      </c>
      <c r="H50" s="86">
        <v>7</v>
      </c>
      <c r="I50" s="86">
        <v>5</v>
      </c>
      <c r="J50" s="74">
        <v>1</v>
      </c>
      <c r="K50" s="74">
        <v>1</v>
      </c>
      <c r="L50" s="74">
        <v>1</v>
      </c>
      <c r="M50" s="86">
        <v>3</v>
      </c>
      <c r="N50" s="74">
        <v>1</v>
      </c>
      <c r="O50" s="86">
        <v>6</v>
      </c>
      <c r="P50" s="74">
        <v>1</v>
      </c>
      <c r="Q50" s="87">
        <v>8</v>
      </c>
      <c r="R50" s="86">
        <v>5</v>
      </c>
      <c r="S50" s="86">
        <v>5</v>
      </c>
      <c r="T50" s="86">
        <v>5</v>
      </c>
      <c r="U50" s="86">
        <v>5</v>
      </c>
      <c r="V50" s="86">
        <v>5</v>
      </c>
      <c r="W50" s="86">
        <v>6</v>
      </c>
      <c r="X50" s="86">
        <v>6</v>
      </c>
      <c r="Y50" s="86">
        <v>4</v>
      </c>
      <c r="Z50" s="74">
        <v>2</v>
      </c>
      <c r="AA50" s="86">
        <v>5</v>
      </c>
      <c r="AB50" s="89">
        <f>IFERROR((30/100*MAX('⚙ Parámetros'!D15/(1+2^(-'⚙ Parámetros'!C15*(F50-'⚙ Parámetros'!B15))),'⚙ Parámetros'!G15/(1+2^(-'⚙ Parámetros'!F15*(F50-'⚙ Parámetros'!E15))),1)*F50+30/100*MAX('⚙ Parámetros'!D15/(1+2^(-'⚙ Parámetros'!C15*(G50-'⚙ Parámetros'!B15))),'⚙ Parámetros'!G15/(1+2^(-'⚙ Parámetros'!F15*(G50-'⚙ Parámetros'!E15))),1)*G50+20/100*MAX('⚙ Parámetros'!D15/(1+2^(-'⚙ Parámetros'!C15*(H50-'⚙ Parámetros'!B15))),'⚙ Parámetros'!G15/(1+2^(-'⚙ Parámetros'!F15*(H50-'⚙ Parámetros'!E15))),1)*H50+20/100*MAX('⚙ Parámetros'!D15/(1+2^(-'⚙ Parámetros'!C15*(I50-'⚙ Parámetros'!B15))),'⚙ Parámetros'!G15/(1+2^(-'⚙ Parámetros'!F15*(I50-'⚙ Parámetros'!E15))),1)*I50)/(30/100*MAX('⚙ Parámetros'!D15/(1+2^(-'⚙ Parámetros'!C15*(F50-'⚙ Parámetros'!B15))),'⚙ Parámetros'!G15/(1+2^(-'⚙ Parámetros'!F15*(F50-'⚙ Parámetros'!E15))),1)+30/100*MAX('⚙ Parámetros'!D15/(1+2^(-'⚙ Parámetros'!C15*(G50-'⚙ Parámetros'!B15))),'⚙ Parámetros'!G15/(1+2^(-'⚙ Parámetros'!F15*(G50-'⚙ Parámetros'!E15))),1)+20/100*MAX('⚙ Parámetros'!D15/(1+2^(-'⚙ Parámetros'!C15*(H50-'⚙ Parámetros'!B15))),'⚙ Parámetros'!G15/(1+2^(-'⚙ Parámetros'!F15*(H50-'⚙ Parámetros'!E15))),1)+20/100*MAX('⚙ Parámetros'!D15/(1+2^(-'⚙ Parámetros'!C15*(I50-'⚙ Parámetros'!B15))),'⚙ Parámetros'!G15/(1+2^(-'⚙ Parámetros'!F15*(I50-'⚙ Parámetros'!E15))),1)),0)</f>
        <v>6.0446428571428568</v>
      </c>
      <c r="AC50" s="89">
        <f>IFERROR((35/100*MAX('⚙ Parámetros'!D16/(1+2^(-'⚙ Parámetros'!C16*(J50-'⚙ Parámetros'!B16))),'⚙ Parámetros'!G16/(1+2^(-'⚙ Parámetros'!F16*(J50-'⚙ Parámetros'!E16))),1)*J50+25/100*MAX('⚙ Parámetros'!D16/(1+2^(-'⚙ Parámetros'!C16*(K50-'⚙ Parámetros'!B16))),'⚙ Parámetros'!G16/(1+2^(-'⚙ Parámetros'!F16*(K50-'⚙ Parámetros'!E16))),1)*K50+20/100*MAX('⚙ Parámetros'!D16/(1+2^(-'⚙ Parámetros'!C16*(L50-'⚙ Parámetros'!B16))),'⚙ Parámetros'!G16/(1+2^(-'⚙ Parámetros'!F16*(L50-'⚙ Parámetros'!E16))),1)*L50+20/100*MAX('⚙ Parámetros'!D16/(1+2^(-'⚙ Parámetros'!C16*(M50-'⚙ Parámetros'!B16))),'⚙ Parámetros'!G16/(1+2^(-'⚙ Parámetros'!F16*(M50-'⚙ Parámetros'!E16))),1)*M50)/(35/100*MAX('⚙ Parámetros'!D16/(1+2^(-'⚙ Parámetros'!C16*(J50-'⚙ Parámetros'!B16))),'⚙ Parámetros'!G16/(1+2^(-'⚙ Parámetros'!F16*(J50-'⚙ Parámetros'!E16))),1)+25/100*MAX('⚙ Parámetros'!D16/(1+2^(-'⚙ Parámetros'!C16*(K50-'⚙ Parámetros'!B16))),'⚙ Parámetros'!G16/(1+2^(-'⚙ Parámetros'!F16*(K50-'⚙ Parámetros'!E16))),1)+20/100*MAX('⚙ Parámetros'!D16/(1+2^(-'⚙ Parámetros'!C16*(L50-'⚙ Parámetros'!B16))),'⚙ Parámetros'!G16/(1+2^(-'⚙ Parámetros'!F16*(L50-'⚙ Parámetros'!E16))),1)+20/100*MAX('⚙ Parámetros'!D16/(1+2^(-'⚙ Parámetros'!C16*(M50-'⚙ Parámetros'!B16))),'⚙ Parámetros'!G16/(1+2^(-'⚙ Parámetros'!F16*(M50-'⚙ Parámetros'!E16))),1)),0)</f>
        <v>1.4000000000000001</v>
      </c>
      <c r="AD50" s="89">
        <f>IFERROR((30/100*MAX('⚙ Parámetros'!D17/(1+2^(-'⚙ Parámetros'!C17*(N50-'⚙ Parámetros'!B17))),'⚙ Parámetros'!G17/(1+2^(-'⚙ Parámetros'!F17*(N50-'⚙ Parámetros'!E17))),1)*N50+25/100*MAX('⚙ Parámetros'!D17/(1+2^(-'⚙ Parámetros'!C17*(O50-'⚙ Parámetros'!B17))),'⚙ Parámetros'!G17/(1+2^(-'⚙ Parámetros'!F17*(O50-'⚙ Parámetros'!E17))),1)*O50+25/100*MAX('⚙ Parámetros'!D17/(1+2^(-'⚙ Parámetros'!C17*(P50-'⚙ Parámetros'!B17))),'⚙ Parámetros'!G17/(1+2^(-'⚙ Parámetros'!F17*(P50-'⚙ Parámetros'!E17))),1)*P50+20/100*MAX('⚙ Parámetros'!D17/(1+2^(-'⚙ Parámetros'!C17*(Q50-'⚙ Parámetros'!B17))),'⚙ Parámetros'!G17/(1+2^(-'⚙ Parámetros'!F17*(Q50-'⚙ Parámetros'!E17))),1)*Q50)/(30/100*MAX('⚙ Parámetros'!D17/(1+2^(-'⚙ Parámetros'!C17*(N50-'⚙ Parámetros'!B17))),'⚙ Parámetros'!G17/(1+2^(-'⚙ Parámetros'!F17*(N50-'⚙ Parámetros'!E17))),1)+25/100*MAX('⚙ Parámetros'!D17/(1+2^(-'⚙ Parámetros'!C17*(O50-'⚙ Parámetros'!B17))),'⚙ Parámetros'!G17/(1+2^(-'⚙ Parámetros'!F17*(O50-'⚙ Parámetros'!E17))),1)+25/100*MAX('⚙ Parámetros'!D17/(1+2^(-'⚙ Parámetros'!C17*(P50-'⚙ Parámetros'!B17))),'⚙ Parámetros'!G17/(1+2^(-'⚙ Parámetros'!F17*(P50-'⚙ Parámetros'!E17))),1)+20/100*MAX('⚙ Parámetros'!D17/(1+2^(-'⚙ Parámetros'!C17*(Q50-'⚙ Parámetros'!B17))),'⚙ Parámetros'!G17/(1+2^(-'⚙ Parámetros'!F17*(Q50-'⚙ Parámetros'!E17))),1)),0)</f>
        <v>5.4102564102564106</v>
      </c>
      <c r="AE50" s="89">
        <f>IFERROR((30/100*MAX('⚙ Parámetros'!D18/(1+2^(-'⚙ Parámetros'!C18*(R50-'⚙ Parámetros'!B18))),'⚙ Parámetros'!G18/(1+2^(-'⚙ Parámetros'!F18*(R50-'⚙ Parámetros'!E18))),1)*R50+30/100*MAX('⚙ Parámetros'!D18/(1+2^(-'⚙ Parámetros'!C18*(S50-'⚙ Parámetros'!B18))),'⚙ Parámetros'!G18/(1+2^(-'⚙ Parámetros'!F18*(S50-'⚙ Parámetros'!E18))),1)*S50+20/100*MAX('⚙ Parámetros'!D18/(1+2^(-'⚙ Parámetros'!C18*(T50-'⚙ Parámetros'!B18))),'⚙ Parámetros'!G18/(1+2^(-'⚙ Parámetros'!F18*(T50-'⚙ Parámetros'!E18))),1)*T50+20/100*MAX('⚙ Parámetros'!D18/(1+2^(-'⚙ Parámetros'!C18*(U50-'⚙ Parámetros'!B18))),'⚙ Parámetros'!G18/(1+2^(-'⚙ Parámetros'!F18*(U50-'⚙ Parámetros'!E18))),1)*U50)/(30/100*MAX('⚙ Parámetros'!D18/(1+2^(-'⚙ Parámetros'!C18*(R50-'⚙ Parámetros'!B18))),'⚙ Parámetros'!G18/(1+2^(-'⚙ Parámetros'!F18*(R50-'⚙ Parámetros'!E18))),1)+30/100*MAX('⚙ Parámetros'!D18/(1+2^(-'⚙ Parámetros'!C18*(S50-'⚙ Parámetros'!B18))),'⚙ Parámetros'!G18/(1+2^(-'⚙ Parámetros'!F18*(S50-'⚙ Parámetros'!E18))),1)+20/100*MAX('⚙ Parámetros'!D18/(1+2^(-'⚙ Parámetros'!C18*(T50-'⚙ Parámetros'!B18))),'⚙ Parámetros'!G18/(1+2^(-'⚙ Parámetros'!F18*(T50-'⚙ Parámetros'!E18))),1)+20/100*MAX('⚙ Parámetros'!D18/(1+2^(-'⚙ Parámetros'!C18*(U50-'⚙ Parámetros'!B18))),'⚙ Parámetros'!G18/(1+2^(-'⚙ Parámetros'!F18*(U50-'⚙ Parámetros'!E18))),1)),0)</f>
        <v>5</v>
      </c>
      <c r="AF50" s="89">
        <f>IFERROR((30/100*MAX('⚙ Parámetros'!D19/(1+2^(-'⚙ Parámetros'!C19*(V50-'⚙ Parámetros'!B19))),'⚙ Parámetros'!G19/(1+2^(-'⚙ Parámetros'!F19*(V50-'⚙ Parámetros'!E19))),1)*V50+35/100*MAX('⚙ Parámetros'!D19/(1+2^(-'⚙ Parámetros'!C19*(W50-'⚙ Parámetros'!B19))),'⚙ Parámetros'!G19/(1+2^(-'⚙ Parámetros'!F19*(W50-'⚙ Parámetros'!E19))),1)*W50+35/100*MAX('⚙ Parámetros'!D19/(1+2^(-'⚙ Parámetros'!C19*(X50-'⚙ Parámetros'!B19))),'⚙ Parámetros'!G19/(1+2^(-'⚙ Parámetros'!F19*(X50-'⚙ Parámetros'!E19))),1)*X50)/(30/100*MAX('⚙ Parámetros'!D19/(1+2^(-'⚙ Parámetros'!C19*(V50-'⚙ Parámetros'!B19))),'⚙ Parámetros'!G19/(1+2^(-'⚙ Parámetros'!F19*(V50-'⚙ Parámetros'!E19))),1)+35/100*MAX('⚙ Parámetros'!D19/(1+2^(-'⚙ Parámetros'!C19*(W50-'⚙ Parámetros'!B19))),'⚙ Parámetros'!G19/(1+2^(-'⚙ Parámetros'!F19*(W50-'⚙ Parámetros'!E19))),1)+35/100*MAX('⚙ Parámetros'!D19/(1+2^(-'⚙ Parámetros'!C19*(X50-'⚙ Parámetros'!B19))),'⚙ Parámetros'!G19/(1+2^(-'⚙ Parámetros'!F19*(X50-'⚙ Parámetros'!E19))),1)),0)</f>
        <v>5.7368421052631575</v>
      </c>
      <c r="AG50" s="89">
        <f>IFERROR((35/100*MAX('⚙ Parámetros'!D20/(1+2^(-'⚙ Parámetros'!C20*(Y50-'⚙ Parámetros'!B20))),'⚙ Parámetros'!G20/(1+2^(-'⚙ Parámetros'!F20*(Y50-'⚙ Parámetros'!E20))),1)*Y50+35/100*MAX('⚙ Parámetros'!D20/(1+2^(-'⚙ Parámetros'!C20*(Z50-'⚙ Parámetros'!B20))),'⚙ Parámetros'!G20/(1+2^(-'⚙ Parámetros'!F20*(Z50-'⚙ Parámetros'!E20))),1)*Z50+30/100*MAX('⚙ Parámetros'!D20/(1+2^(-'⚙ Parámetros'!C20*(AA50-'⚙ Parámetros'!B20))),'⚙ Parámetros'!G20/(1+2^(-'⚙ Parámetros'!F20*(AA50-'⚙ Parámetros'!E20))),1)*AA50)/(35/100*MAX('⚙ Parámetros'!D20/(1+2^(-'⚙ Parámetros'!C20*(Y50-'⚙ Parámetros'!B20))),'⚙ Parámetros'!G20/(1+2^(-'⚙ Parámetros'!F20*(Y50-'⚙ Parámetros'!E20))),1)+35/100*MAX('⚙ Parámetros'!D20/(1+2^(-'⚙ Parámetros'!C20*(Z50-'⚙ Parámetros'!B20))),'⚙ Parámetros'!G20/(1+2^(-'⚙ Parámetros'!F20*(Z50-'⚙ Parámetros'!E20))),1)+30/100*MAX('⚙ Parámetros'!D20/(1+2^(-'⚙ Parámetros'!C20*(AA50-'⚙ Parámetros'!B20))),'⚙ Parámetros'!G20/(1+2^(-'⚙ Parámetros'!F20*(AA50-'⚙ Parámetros'!E20))),1)),0)</f>
        <v>3.7272727272727275</v>
      </c>
      <c r="AH50" s="90">
        <f>('⚙ Parámetros'!B5/100*AB50+'⚙ Parámetros'!B6/100*AC50+'⚙ Parámetros'!B7/100*AD50+'⚙ Parámetros'!B8/100*AE50+'⚙ Parámetros'!B9/100*AF50+'⚙ Parámetros'!B10/100*AG50)</f>
        <v>4.6473101679022726</v>
      </c>
      <c r="AI50" s="91">
        <f ca="1">MIN(1+MAX(0,TODAY()-DATE(2025,6,5))/365*'⚙ Parámetros'!B33,'⚙ Parámetros'!B34)</f>
        <v>1.1528767123287671</v>
      </c>
      <c r="AJ50" s="82">
        <f t="shared" ca="1" si="2"/>
        <v>5.3577756675432227</v>
      </c>
      <c r="AK50" s="92" t="str">
        <f ca="1">IF(AB50&gt;='⚙ Parámetros'!B23,"⚑ AUTO-PRIOR.(D1≥8)",IF(AJ50&gt;='⚙ Parámetros'!B23,"PRIORITARIO",IF(AJ50&gt;='⚙ Parámetros'!B24,"ALTA PRIORIDAD",IF(AJ50&gt;='⚙ Parámetros'!B25,"PRIORIDAD MEDIA",IF(AJ50&gt;='⚙ Parámetros'!B26,"BAJA PRIORIDAD","DESCARTAR")))))</f>
        <v>BAJA PRIORIDAD</v>
      </c>
      <c r="AL50" s="69" t="str">
        <f t="shared" si="3"/>
        <v>—</v>
      </c>
      <c r="AM50" s="85">
        <v>24</v>
      </c>
      <c r="AN50" s="83" t="str">
        <f>IF(AM50="","—",IF(AM50&lt;'⚙ Parámetros'!B29,"🟢 Corto",IF(AM50&lt;'⚙ Parámetros'!B30,"🟡 Medio","🔴 Largo")))</f>
        <v>🟢 Corto</v>
      </c>
    </row>
    <row r="51" spans="1:40" ht="18.75" customHeight="1" x14ac:dyDescent="0.25">
      <c r="A51" s="69">
        <v>47</v>
      </c>
      <c r="B51" s="70" t="s">
        <v>227</v>
      </c>
      <c r="C51" s="4" t="s">
        <v>138</v>
      </c>
      <c r="D51" s="71" t="s">
        <v>228</v>
      </c>
      <c r="E51" s="72" t="s">
        <v>229</v>
      </c>
      <c r="F51" s="74">
        <v>1</v>
      </c>
      <c r="G51" s="74">
        <v>1</v>
      </c>
      <c r="H51" s="73">
        <v>5</v>
      </c>
      <c r="I51" s="74">
        <v>1</v>
      </c>
      <c r="J51" s="74">
        <v>1</v>
      </c>
      <c r="K51" s="75">
        <v>8</v>
      </c>
      <c r="L51" s="75">
        <v>8</v>
      </c>
      <c r="M51" s="73">
        <v>3</v>
      </c>
      <c r="N51" s="74">
        <v>1</v>
      </c>
      <c r="O51" s="74">
        <v>1</v>
      </c>
      <c r="P51" s="74">
        <v>1</v>
      </c>
      <c r="Q51" s="73">
        <v>6</v>
      </c>
      <c r="R51" s="76">
        <v>9</v>
      </c>
      <c r="S51" s="76">
        <v>9</v>
      </c>
      <c r="T51" s="73">
        <v>5</v>
      </c>
      <c r="U51" s="73">
        <v>5</v>
      </c>
      <c r="V51" s="77">
        <v>8</v>
      </c>
      <c r="W51" s="73">
        <v>6</v>
      </c>
      <c r="X51" s="77">
        <v>9</v>
      </c>
      <c r="Y51" s="73">
        <v>4</v>
      </c>
      <c r="Z51" s="74">
        <v>2</v>
      </c>
      <c r="AA51" s="73">
        <v>5</v>
      </c>
      <c r="AB51" s="80">
        <f>IFERROR((30/100*MAX('⚙ Parámetros'!D15/(1+2^(-'⚙ Parámetros'!C15*(F51-'⚙ Parámetros'!B15))),'⚙ Parámetros'!G15/(1+2^(-'⚙ Parámetros'!F15*(F51-'⚙ Parámetros'!E15))),1)*F51+30/100*MAX('⚙ Parámetros'!D15/(1+2^(-'⚙ Parámetros'!C15*(G51-'⚙ Parámetros'!B15))),'⚙ Parámetros'!G15/(1+2^(-'⚙ Parámetros'!F15*(G51-'⚙ Parámetros'!E15))),1)*G51+20/100*MAX('⚙ Parámetros'!D15/(1+2^(-'⚙ Parámetros'!C15*(H51-'⚙ Parámetros'!B15))),'⚙ Parámetros'!G15/(1+2^(-'⚙ Parámetros'!F15*(H51-'⚙ Parámetros'!E15))),1)*H51+20/100*MAX('⚙ Parámetros'!D15/(1+2^(-'⚙ Parámetros'!C15*(I51-'⚙ Parámetros'!B15))),'⚙ Parámetros'!G15/(1+2^(-'⚙ Parámetros'!F15*(I51-'⚙ Parámetros'!E15))),1)*I51)/(30/100*MAX('⚙ Parámetros'!D15/(1+2^(-'⚙ Parámetros'!C15*(F51-'⚙ Parámetros'!B15))),'⚙ Parámetros'!G15/(1+2^(-'⚙ Parámetros'!F15*(F51-'⚙ Parámetros'!E15))),1)+30/100*MAX('⚙ Parámetros'!D15/(1+2^(-'⚙ Parámetros'!C15*(G51-'⚙ Parámetros'!B15))),'⚙ Parámetros'!G15/(1+2^(-'⚙ Parámetros'!F15*(G51-'⚙ Parámetros'!E15))),1)+20/100*MAX('⚙ Parámetros'!D15/(1+2^(-'⚙ Parámetros'!C15*(H51-'⚙ Parámetros'!B15))),'⚙ Parámetros'!G15/(1+2^(-'⚙ Parámetros'!F15*(H51-'⚙ Parámetros'!E15))),1)+20/100*MAX('⚙ Parámetros'!D15/(1+2^(-'⚙ Parámetros'!C15*(I51-'⚙ Parámetros'!B15))),'⚙ Parámetros'!G15/(1+2^(-'⚙ Parámetros'!F15*(I51-'⚙ Parámetros'!E15))),1)),0)</f>
        <v>2.1428571428571428</v>
      </c>
      <c r="AC51" s="80">
        <f>IFERROR((35/100*MAX('⚙ Parámetros'!D16/(1+2^(-'⚙ Parámetros'!C16*(J51-'⚙ Parámetros'!B16))),'⚙ Parámetros'!G16/(1+2^(-'⚙ Parámetros'!F16*(J51-'⚙ Parámetros'!E16))),1)*J51+25/100*MAX('⚙ Parámetros'!D16/(1+2^(-'⚙ Parámetros'!C16*(K51-'⚙ Parámetros'!B16))),'⚙ Parámetros'!G16/(1+2^(-'⚙ Parámetros'!F16*(K51-'⚙ Parámetros'!E16))),1)*K51+20/100*MAX('⚙ Parámetros'!D16/(1+2^(-'⚙ Parámetros'!C16*(L51-'⚙ Parámetros'!B16))),'⚙ Parámetros'!G16/(1+2^(-'⚙ Parámetros'!F16*(L51-'⚙ Parámetros'!E16))),1)*L51+20/100*MAX('⚙ Parámetros'!D16/(1+2^(-'⚙ Parámetros'!C16*(M51-'⚙ Parámetros'!B16))),'⚙ Parámetros'!G16/(1+2^(-'⚙ Parámetros'!F16*(M51-'⚙ Parámetros'!E16))),1)*M51)/(35/100*MAX('⚙ Parámetros'!D16/(1+2^(-'⚙ Parámetros'!C16*(J51-'⚙ Parámetros'!B16))),'⚙ Parámetros'!G16/(1+2^(-'⚙ Parámetros'!F16*(J51-'⚙ Parámetros'!E16))),1)+25/100*MAX('⚙ Parámetros'!D16/(1+2^(-'⚙ Parámetros'!C16*(K51-'⚙ Parámetros'!B16))),'⚙ Parámetros'!G16/(1+2^(-'⚙ Parámetros'!F16*(K51-'⚙ Parámetros'!E16))),1)+20/100*MAX('⚙ Parámetros'!D16/(1+2^(-'⚙ Parámetros'!C16*(L51-'⚙ Parámetros'!B16))),'⚙ Parámetros'!G16/(1+2^(-'⚙ Parámetros'!F16*(L51-'⚙ Parámetros'!E16))),1)+20/100*MAX('⚙ Parámetros'!D16/(1+2^(-'⚙ Parámetros'!C16*(M51-'⚙ Parámetros'!B16))),'⚙ Parámetros'!G16/(1+2^(-'⚙ Parámetros'!F16*(M51-'⚙ Parámetros'!E16))),1)),0)</f>
        <v>6.6601941747572821</v>
      </c>
      <c r="AD51" s="80">
        <f>IFERROR((30/100*MAX('⚙ Parámetros'!D17/(1+2^(-'⚙ Parámetros'!C17*(N51-'⚙ Parámetros'!B17))),'⚙ Parámetros'!G17/(1+2^(-'⚙ Parámetros'!F17*(N51-'⚙ Parámetros'!E17))),1)*N51+25/100*MAX('⚙ Parámetros'!D17/(1+2^(-'⚙ Parámetros'!C17*(O51-'⚙ Parámetros'!B17))),'⚙ Parámetros'!G17/(1+2^(-'⚙ Parámetros'!F17*(O51-'⚙ Parámetros'!E17))),1)*O51+25/100*MAX('⚙ Parámetros'!D17/(1+2^(-'⚙ Parámetros'!C17*(P51-'⚙ Parámetros'!B17))),'⚙ Parámetros'!G17/(1+2^(-'⚙ Parámetros'!F17*(P51-'⚙ Parámetros'!E17))),1)*P51+20/100*MAX('⚙ Parámetros'!D17/(1+2^(-'⚙ Parámetros'!C17*(Q51-'⚙ Parámetros'!B17))),'⚙ Parámetros'!G17/(1+2^(-'⚙ Parámetros'!F17*(Q51-'⚙ Parámetros'!E17))),1)*Q51)/(30/100*MAX('⚙ Parámetros'!D17/(1+2^(-'⚙ Parámetros'!C17*(N51-'⚙ Parámetros'!B17))),'⚙ Parámetros'!G17/(1+2^(-'⚙ Parámetros'!F17*(N51-'⚙ Parámetros'!E17))),1)+25/100*MAX('⚙ Parámetros'!D17/(1+2^(-'⚙ Parámetros'!C17*(O51-'⚙ Parámetros'!B17))),'⚙ Parámetros'!G17/(1+2^(-'⚙ Parámetros'!F17*(O51-'⚙ Parámetros'!E17))),1)+25/100*MAX('⚙ Parámetros'!D17/(1+2^(-'⚙ Parámetros'!C17*(P51-'⚙ Parámetros'!B17))),'⚙ Parámetros'!G17/(1+2^(-'⚙ Parámetros'!F17*(P51-'⚙ Parámetros'!E17))),1)+20/100*MAX('⚙ Parámetros'!D17/(1+2^(-'⚙ Parámetros'!C17*(Q51-'⚙ Parámetros'!B17))),'⚙ Parámetros'!G17/(1+2^(-'⚙ Parámetros'!F17*(Q51-'⚙ Parámetros'!E17))),1)),0)</f>
        <v>2.8749999999999996</v>
      </c>
      <c r="AE51" s="80">
        <f>IFERROR((30/100*MAX('⚙ Parámetros'!D18/(1+2^(-'⚙ Parámetros'!C18*(R51-'⚙ Parámetros'!B18))),'⚙ Parámetros'!G18/(1+2^(-'⚙ Parámetros'!F18*(R51-'⚙ Parámetros'!E18))),1)*R51+30/100*MAX('⚙ Parámetros'!D18/(1+2^(-'⚙ Parámetros'!C18*(S51-'⚙ Parámetros'!B18))),'⚙ Parámetros'!G18/(1+2^(-'⚙ Parámetros'!F18*(S51-'⚙ Parámetros'!E18))),1)*S51+20/100*MAX('⚙ Parámetros'!D18/(1+2^(-'⚙ Parámetros'!C18*(T51-'⚙ Parámetros'!B18))),'⚙ Parámetros'!G18/(1+2^(-'⚙ Parámetros'!F18*(T51-'⚙ Parámetros'!E18))),1)*T51+20/100*MAX('⚙ Parámetros'!D18/(1+2^(-'⚙ Parámetros'!C18*(U51-'⚙ Parámetros'!B18))),'⚙ Parámetros'!G18/(1+2^(-'⚙ Parámetros'!F18*(U51-'⚙ Parámetros'!E18))),1)*U51)/(30/100*MAX('⚙ Parámetros'!D18/(1+2^(-'⚙ Parámetros'!C18*(R51-'⚙ Parámetros'!B18))),'⚙ Parámetros'!G18/(1+2^(-'⚙ Parámetros'!F18*(R51-'⚙ Parámetros'!E18))),1)+30/100*MAX('⚙ Parámetros'!D18/(1+2^(-'⚙ Parámetros'!C18*(S51-'⚙ Parámetros'!B18))),'⚙ Parámetros'!G18/(1+2^(-'⚙ Parámetros'!F18*(S51-'⚙ Parámetros'!E18))),1)+20/100*MAX('⚙ Parámetros'!D18/(1+2^(-'⚙ Parámetros'!C18*(T51-'⚙ Parámetros'!B18))),'⚙ Parámetros'!G18/(1+2^(-'⚙ Parámetros'!F18*(T51-'⚙ Parámetros'!E18))),1)+20/100*MAX('⚙ Parámetros'!D18/(1+2^(-'⚙ Parámetros'!C18*(U51-'⚙ Parámetros'!B18))),'⚙ Parámetros'!G18/(1+2^(-'⚙ Parámetros'!F18*(U51-'⚙ Parámetros'!E18))),1)),0)</f>
        <v>8.1801060365339655</v>
      </c>
      <c r="AF51" s="80">
        <f>IFERROR((30/100*MAX('⚙ Parámetros'!D19/(1+2^(-'⚙ Parámetros'!C19*(V51-'⚙ Parámetros'!B19))),'⚙ Parámetros'!G19/(1+2^(-'⚙ Parámetros'!F19*(V51-'⚙ Parámetros'!E19))),1)*V51+35/100*MAX('⚙ Parámetros'!D19/(1+2^(-'⚙ Parámetros'!C19*(W51-'⚙ Parámetros'!B19))),'⚙ Parámetros'!G19/(1+2^(-'⚙ Parámetros'!F19*(W51-'⚙ Parámetros'!E19))),1)*W51+35/100*MAX('⚙ Parámetros'!D19/(1+2^(-'⚙ Parámetros'!C19*(X51-'⚙ Parámetros'!B19))),'⚙ Parámetros'!G19/(1+2^(-'⚙ Parámetros'!F19*(X51-'⚙ Parámetros'!E19))),1)*X51)/(30/100*MAX('⚙ Parámetros'!D19/(1+2^(-'⚙ Parámetros'!C19*(V51-'⚙ Parámetros'!B19))),'⚙ Parámetros'!G19/(1+2^(-'⚙ Parámetros'!F19*(V51-'⚙ Parámetros'!E19))),1)+35/100*MAX('⚙ Parámetros'!D19/(1+2^(-'⚙ Parámetros'!C19*(W51-'⚙ Parámetros'!B19))),'⚙ Parámetros'!G19/(1+2^(-'⚙ Parámetros'!F19*(W51-'⚙ Parámetros'!E19))),1)+35/100*MAX('⚙ Parámetros'!D19/(1+2^(-'⚙ Parámetros'!C19*(X51-'⚙ Parámetros'!B19))),'⚙ Parámetros'!G19/(1+2^(-'⚙ Parámetros'!F19*(X51-'⚙ Parámetros'!E19))),1)),0)</f>
        <v>8.0351483057098907</v>
      </c>
      <c r="AG51" s="80">
        <f>IFERROR((35/100*MAX('⚙ Parámetros'!D20/(1+2^(-'⚙ Parámetros'!C20*(Y51-'⚙ Parámetros'!B20))),'⚙ Parámetros'!G20/(1+2^(-'⚙ Parámetros'!F20*(Y51-'⚙ Parámetros'!E20))),1)*Y51+35/100*MAX('⚙ Parámetros'!D20/(1+2^(-'⚙ Parámetros'!C20*(Z51-'⚙ Parámetros'!B20))),'⚙ Parámetros'!G20/(1+2^(-'⚙ Parámetros'!F20*(Z51-'⚙ Parámetros'!E20))),1)*Z51+30/100*MAX('⚙ Parámetros'!D20/(1+2^(-'⚙ Parámetros'!C20*(AA51-'⚙ Parámetros'!B20))),'⚙ Parámetros'!G20/(1+2^(-'⚙ Parámetros'!F20*(AA51-'⚙ Parámetros'!E20))),1)*AA51)/(35/100*MAX('⚙ Parámetros'!D20/(1+2^(-'⚙ Parámetros'!C20*(Y51-'⚙ Parámetros'!B20))),'⚙ Parámetros'!G20/(1+2^(-'⚙ Parámetros'!F20*(Y51-'⚙ Parámetros'!E20))),1)+35/100*MAX('⚙ Parámetros'!D20/(1+2^(-'⚙ Parámetros'!C20*(Z51-'⚙ Parámetros'!B20))),'⚙ Parámetros'!G20/(1+2^(-'⚙ Parámetros'!F20*(Z51-'⚙ Parámetros'!E20))),1)+30/100*MAX('⚙ Parámetros'!D20/(1+2^(-'⚙ Parámetros'!C20*(AA51-'⚙ Parámetros'!B20))),'⚙ Parámetros'!G20/(1+2^(-'⚙ Parámetros'!F20*(AA51-'⚙ Parámetros'!E20))),1)),0)</f>
        <v>3.7272727272727275</v>
      </c>
      <c r="AH51" s="81">
        <f>('⚙ Parámetros'!B5/100*AB51+'⚙ Parámetros'!B6/100*AC51+'⚙ Parámetros'!B7/100*AD51+'⚙ Parámetros'!B8/100*AE51+'⚙ Parámetros'!B9/100*AF51+'⚙ Parámetros'!B10/100*AG51)</f>
        <v>4.6332053509454818</v>
      </c>
      <c r="AI51" s="33">
        <f ca="1">MIN(1+MAX(0,TODAY()-DATE(2026,2,23))/365*'⚙ Parámetros'!B33,'⚙ Parámetros'!B34)</f>
        <v>1.0447945205479452</v>
      </c>
      <c r="AJ51" s="82">
        <f t="shared" ca="1" si="2"/>
        <v>4.8407475632412584</v>
      </c>
      <c r="AK51" s="83" t="str">
        <f ca="1">IF(AB51&gt;='⚙ Parámetros'!B23,"⚑ AUTO-PRIOR.(D1≥8)",IF(AJ51&gt;='⚙ Parámetros'!B23,"PRIORITARIO",IF(AJ51&gt;='⚙ Parámetros'!B24,"ALTA PRIORIDAD",IF(AJ51&gt;='⚙ Parámetros'!B25,"PRIORIDAD MEDIA",IF(AJ51&gt;='⚙ Parámetros'!B26,"BAJA PRIORIDAD","DESCARTAR")))))</f>
        <v>BAJA PRIORIDAD</v>
      </c>
      <c r="AL51" s="84" t="str">
        <f t="shared" si="3"/>
        <v>—</v>
      </c>
      <c r="AM51" s="85">
        <v>18</v>
      </c>
      <c r="AN51" s="83" t="str">
        <f>IF(AM51="","—",IF(AM51&lt;'⚙ Parámetros'!B29,"🟢 Corto",IF(AM51&lt;'⚙ Parámetros'!B30,"🟡 Medio","🔴 Largo")))</f>
        <v>🟢 Corto</v>
      </c>
    </row>
    <row r="52" spans="1:40" ht="18.75" customHeight="1" x14ac:dyDescent="0.25">
      <c r="A52" s="69">
        <v>48</v>
      </c>
      <c r="B52" s="30" t="s">
        <v>230</v>
      </c>
      <c r="C52" s="26" t="s">
        <v>231</v>
      </c>
      <c r="D52" s="71" t="s">
        <v>139</v>
      </c>
      <c r="E52" s="72" t="s">
        <v>232</v>
      </c>
      <c r="F52" s="86">
        <v>6</v>
      </c>
      <c r="G52" s="86">
        <v>5</v>
      </c>
      <c r="H52" s="86">
        <v>5</v>
      </c>
      <c r="I52" s="86">
        <v>5</v>
      </c>
      <c r="J52" s="74">
        <v>1</v>
      </c>
      <c r="K52" s="74">
        <v>1</v>
      </c>
      <c r="L52" s="74">
        <v>1</v>
      </c>
      <c r="M52" s="86">
        <v>3</v>
      </c>
      <c r="N52" s="86">
        <v>7</v>
      </c>
      <c r="O52" s="86">
        <v>6</v>
      </c>
      <c r="P52" s="86">
        <v>7</v>
      </c>
      <c r="Q52" s="74">
        <v>1</v>
      </c>
      <c r="R52" s="86">
        <v>5</v>
      </c>
      <c r="S52" s="86">
        <v>5</v>
      </c>
      <c r="T52" s="86">
        <v>5</v>
      </c>
      <c r="U52" s="86">
        <v>5</v>
      </c>
      <c r="V52" s="86">
        <v>5</v>
      </c>
      <c r="W52" s="86">
        <v>6</v>
      </c>
      <c r="X52" s="86">
        <v>6</v>
      </c>
      <c r="Y52" s="86">
        <v>4</v>
      </c>
      <c r="Z52" s="74">
        <v>2</v>
      </c>
      <c r="AA52" s="86">
        <v>5</v>
      </c>
      <c r="AB52" s="89">
        <f>IFERROR((30/100*MAX('⚙ Parámetros'!D15/(1+2^(-'⚙ Parámetros'!C15*(F52-'⚙ Parámetros'!B15))),'⚙ Parámetros'!G15/(1+2^(-'⚙ Parámetros'!F15*(F52-'⚙ Parámetros'!E15))),1)*F52+30/100*MAX('⚙ Parámetros'!D15/(1+2^(-'⚙ Parámetros'!C15*(G52-'⚙ Parámetros'!B15))),'⚙ Parámetros'!G15/(1+2^(-'⚙ Parámetros'!F15*(G52-'⚙ Parámetros'!E15))),1)*G52+20/100*MAX('⚙ Parámetros'!D15/(1+2^(-'⚙ Parámetros'!C15*(H52-'⚙ Parámetros'!B15))),'⚙ Parámetros'!G15/(1+2^(-'⚙ Parámetros'!F15*(H52-'⚙ Parámetros'!E15))),1)*H52+20/100*MAX('⚙ Parámetros'!D15/(1+2^(-'⚙ Parámetros'!C15*(I52-'⚙ Parámetros'!B15))),'⚙ Parámetros'!G15/(1+2^(-'⚙ Parámetros'!F15*(I52-'⚙ Parámetros'!E15))),1)*I52)/(30/100*MAX('⚙ Parámetros'!D15/(1+2^(-'⚙ Parámetros'!C15*(F52-'⚙ Parámetros'!B15))),'⚙ Parámetros'!G15/(1+2^(-'⚙ Parámetros'!F15*(F52-'⚙ Parámetros'!E15))),1)+30/100*MAX('⚙ Parámetros'!D15/(1+2^(-'⚙ Parámetros'!C15*(G52-'⚙ Parámetros'!B15))),'⚙ Parámetros'!G15/(1+2^(-'⚙ Parámetros'!F15*(G52-'⚙ Parámetros'!E15))),1)+20/100*MAX('⚙ Parámetros'!D15/(1+2^(-'⚙ Parámetros'!C15*(H52-'⚙ Parámetros'!B15))),'⚙ Parámetros'!G15/(1+2^(-'⚙ Parámetros'!F15*(H52-'⚙ Parámetros'!E15))),1)+20/100*MAX('⚙ Parámetros'!D15/(1+2^(-'⚙ Parámetros'!C15*(I52-'⚙ Parámetros'!B15))),'⚙ Parámetros'!G15/(1+2^(-'⚙ Parámetros'!F15*(I52-'⚙ Parámetros'!E15))),1)),0)</f>
        <v>5.3253012048192776</v>
      </c>
      <c r="AC52" s="89">
        <f>IFERROR((35/100*MAX('⚙ Parámetros'!D16/(1+2^(-'⚙ Parámetros'!C16*(J52-'⚙ Parámetros'!B16))),'⚙ Parámetros'!G16/(1+2^(-'⚙ Parámetros'!F16*(J52-'⚙ Parámetros'!E16))),1)*J52+25/100*MAX('⚙ Parámetros'!D16/(1+2^(-'⚙ Parámetros'!C16*(K52-'⚙ Parámetros'!B16))),'⚙ Parámetros'!G16/(1+2^(-'⚙ Parámetros'!F16*(K52-'⚙ Parámetros'!E16))),1)*K52+20/100*MAX('⚙ Parámetros'!D16/(1+2^(-'⚙ Parámetros'!C16*(L52-'⚙ Parámetros'!B16))),'⚙ Parámetros'!G16/(1+2^(-'⚙ Parámetros'!F16*(L52-'⚙ Parámetros'!E16))),1)*L52+20/100*MAX('⚙ Parámetros'!D16/(1+2^(-'⚙ Parámetros'!C16*(M52-'⚙ Parámetros'!B16))),'⚙ Parámetros'!G16/(1+2^(-'⚙ Parámetros'!F16*(M52-'⚙ Parámetros'!E16))),1)*M52)/(35/100*MAX('⚙ Parámetros'!D16/(1+2^(-'⚙ Parámetros'!C16*(J52-'⚙ Parámetros'!B16))),'⚙ Parámetros'!G16/(1+2^(-'⚙ Parámetros'!F16*(J52-'⚙ Parámetros'!E16))),1)+25/100*MAX('⚙ Parámetros'!D16/(1+2^(-'⚙ Parámetros'!C16*(K52-'⚙ Parámetros'!B16))),'⚙ Parámetros'!G16/(1+2^(-'⚙ Parámetros'!F16*(K52-'⚙ Parámetros'!E16))),1)+20/100*MAX('⚙ Parámetros'!D16/(1+2^(-'⚙ Parámetros'!C16*(L52-'⚙ Parámetros'!B16))),'⚙ Parámetros'!G16/(1+2^(-'⚙ Parámetros'!F16*(L52-'⚙ Parámetros'!E16))),1)+20/100*MAX('⚙ Parámetros'!D16/(1+2^(-'⚙ Parámetros'!C16*(M52-'⚙ Parámetros'!B16))),'⚙ Parámetros'!G16/(1+2^(-'⚙ Parámetros'!F16*(M52-'⚙ Parámetros'!E16))),1)),0)</f>
        <v>1.4000000000000001</v>
      </c>
      <c r="AD52" s="89">
        <f>IFERROR((30/100*MAX('⚙ Parámetros'!D17/(1+2^(-'⚙ Parámetros'!C17*(N52-'⚙ Parámetros'!B17))),'⚙ Parámetros'!G17/(1+2^(-'⚙ Parámetros'!F17*(N52-'⚙ Parámetros'!E17))),1)*N52+25/100*MAX('⚙ Parámetros'!D17/(1+2^(-'⚙ Parámetros'!C17*(O52-'⚙ Parámetros'!B17))),'⚙ Parámetros'!G17/(1+2^(-'⚙ Parámetros'!F17*(O52-'⚙ Parámetros'!E17))),1)*O52+25/100*MAX('⚙ Parámetros'!D17/(1+2^(-'⚙ Parámetros'!C17*(P52-'⚙ Parámetros'!B17))),'⚙ Parámetros'!G17/(1+2^(-'⚙ Parámetros'!F17*(P52-'⚙ Parámetros'!E17))),1)*P52+20/100*MAX('⚙ Parámetros'!D17/(1+2^(-'⚙ Parámetros'!C17*(Q52-'⚙ Parámetros'!B17))),'⚙ Parámetros'!G17/(1+2^(-'⚙ Parámetros'!F17*(Q52-'⚙ Parámetros'!E17))),1)*Q52)/(30/100*MAX('⚙ Parámetros'!D17/(1+2^(-'⚙ Parámetros'!C17*(N52-'⚙ Parámetros'!B17))),'⚙ Parámetros'!G17/(1+2^(-'⚙ Parámetros'!F17*(N52-'⚙ Parámetros'!E17))),1)+25/100*MAX('⚙ Parámetros'!D17/(1+2^(-'⚙ Parámetros'!C17*(O52-'⚙ Parámetros'!B17))),'⚙ Parámetros'!G17/(1+2^(-'⚙ Parámetros'!F17*(O52-'⚙ Parámetros'!E17))),1)+25/100*MAX('⚙ Parámetros'!D17/(1+2^(-'⚙ Parámetros'!C17*(P52-'⚙ Parámetros'!B17))),'⚙ Parámetros'!G17/(1+2^(-'⚙ Parámetros'!F17*(P52-'⚙ Parámetros'!E17))),1)+20/100*MAX('⚙ Parámetros'!D17/(1+2^(-'⚙ Parámetros'!C17*(Q52-'⚙ Parámetros'!B17))),'⚙ Parámetros'!G17/(1+2^(-'⚙ Parámetros'!F17*(Q52-'⚙ Parámetros'!E17))),1)),0)</f>
        <v>6.2058823529411757</v>
      </c>
      <c r="AE52" s="89">
        <f>IFERROR((30/100*MAX('⚙ Parámetros'!D18/(1+2^(-'⚙ Parámetros'!C18*(R52-'⚙ Parámetros'!B18))),'⚙ Parámetros'!G18/(1+2^(-'⚙ Parámetros'!F18*(R52-'⚙ Parámetros'!E18))),1)*R52+30/100*MAX('⚙ Parámetros'!D18/(1+2^(-'⚙ Parámetros'!C18*(S52-'⚙ Parámetros'!B18))),'⚙ Parámetros'!G18/(1+2^(-'⚙ Parámetros'!F18*(S52-'⚙ Parámetros'!E18))),1)*S52+20/100*MAX('⚙ Parámetros'!D18/(1+2^(-'⚙ Parámetros'!C18*(T52-'⚙ Parámetros'!B18))),'⚙ Parámetros'!G18/(1+2^(-'⚙ Parámetros'!F18*(T52-'⚙ Parámetros'!E18))),1)*T52+20/100*MAX('⚙ Parámetros'!D18/(1+2^(-'⚙ Parámetros'!C18*(U52-'⚙ Parámetros'!B18))),'⚙ Parámetros'!G18/(1+2^(-'⚙ Parámetros'!F18*(U52-'⚙ Parámetros'!E18))),1)*U52)/(30/100*MAX('⚙ Parámetros'!D18/(1+2^(-'⚙ Parámetros'!C18*(R52-'⚙ Parámetros'!B18))),'⚙ Parámetros'!G18/(1+2^(-'⚙ Parámetros'!F18*(R52-'⚙ Parámetros'!E18))),1)+30/100*MAX('⚙ Parámetros'!D18/(1+2^(-'⚙ Parámetros'!C18*(S52-'⚙ Parámetros'!B18))),'⚙ Parámetros'!G18/(1+2^(-'⚙ Parámetros'!F18*(S52-'⚙ Parámetros'!E18))),1)+20/100*MAX('⚙ Parámetros'!D18/(1+2^(-'⚙ Parámetros'!C18*(T52-'⚙ Parámetros'!B18))),'⚙ Parámetros'!G18/(1+2^(-'⚙ Parámetros'!F18*(T52-'⚙ Parámetros'!E18))),1)+20/100*MAX('⚙ Parámetros'!D18/(1+2^(-'⚙ Parámetros'!C18*(U52-'⚙ Parámetros'!B18))),'⚙ Parámetros'!G18/(1+2^(-'⚙ Parámetros'!F18*(U52-'⚙ Parámetros'!E18))),1)),0)</f>
        <v>5</v>
      </c>
      <c r="AF52" s="89">
        <f>IFERROR((30/100*MAX('⚙ Parámetros'!D19/(1+2^(-'⚙ Parámetros'!C19*(V52-'⚙ Parámetros'!B19))),'⚙ Parámetros'!G19/(1+2^(-'⚙ Parámetros'!F19*(V52-'⚙ Parámetros'!E19))),1)*V52+35/100*MAX('⚙ Parámetros'!D19/(1+2^(-'⚙ Parámetros'!C19*(W52-'⚙ Parámetros'!B19))),'⚙ Parámetros'!G19/(1+2^(-'⚙ Parámetros'!F19*(W52-'⚙ Parámetros'!E19))),1)*W52+35/100*MAX('⚙ Parámetros'!D19/(1+2^(-'⚙ Parámetros'!C19*(X52-'⚙ Parámetros'!B19))),'⚙ Parámetros'!G19/(1+2^(-'⚙ Parámetros'!F19*(X52-'⚙ Parámetros'!E19))),1)*X52)/(30/100*MAX('⚙ Parámetros'!D19/(1+2^(-'⚙ Parámetros'!C19*(V52-'⚙ Parámetros'!B19))),'⚙ Parámetros'!G19/(1+2^(-'⚙ Parámetros'!F19*(V52-'⚙ Parámetros'!E19))),1)+35/100*MAX('⚙ Parámetros'!D19/(1+2^(-'⚙ Parámetros'!C19*(W52-'⚙ Parámetros'!B19))),'⚙ Parámetros'!G19/(1+2^(-'⚙ Parámetros'!F19*(W52-'⚙ Parámetros'!E19))),1)+35/100*MAX('⚙ Parámetros'!D19/(1+2^(-'⚙ Parámetros'!C19*(X52-'⚙ Parámetros'!B19))),'⚙ Parámetros'!G19/(1+2^(-'⚙ Parámetros'!F19*(X52-'⚙ Parámetros'!E19))),1)),0)</f>
        <v>5.7368421052631575</v>
      </c>
      <c r="AG52" s="89">
        <f>IFERROR((35/100*MAX('⚙ Parámetros'!D20/(1+2^(-'⚙ Parámetros'!C20*(Y52-'⚙ Parámetros'!B20))),'⚙ Parámetros'!G20/(1+2^(-'⚙ Parámetros'!F20*(Y52-'⚙ Parámetros'!E20))),1)*Y52+35/100*MAX('⚙ Parámetros'!D20/(1+2^(-'⚙ Parámetros'!C20*(Z52-'⚙ Parámetros'!B20))),'⚙ Parámetros'!G20/(1+2^(-'⚙ Parámetros'!F20*(Z52-'⚙ Parámetros'!E20))),1)*Z52+30/100*MAX('⚙ Parámetros'!D20/(1+2^(-'⚙ Parámetros'!C20*(AA52-'⚙ Parámetros'!B20))),'⚙ Parámetros'!G20/(1+2^(-'⚙ Parámetros'!F20*(AA52-'⚙ Parámetros'!E20))),1)*AA52)/(35/100*MAX('⚙ Parámetros'!D20/(1+2^(-'⚙ Parámetros'!C20*(Y52-'⚙ Parámetros'!B20))),'⚙ Parámetros'!G20/(1+2^(-'⚙ Parámetros'!F20*(Y52-'⚙ Parámetros'!E20))),1)+35/100*MAX('⚙ Parámetros'!D20/(1+2^(-'⚙ Parámetros'!C20*(Z52-'⚙ Parámetros'!B20))),'⚙ Parámetros'!G20/(1+2^(-'⚙ Parámetros'!F20*(Z52-'⚙ Parámetros'!E20))),1)+30/100*MAX('⚙ Parámetros'!D20/(1+2^(-'⚙ Parámetros'!C20*(AA52-'⚙ Parámetros'!B20))),'⚙ Parámetros'!G20/(1+2^(-'⚙ Parámetros'!F20*(AA52-'⚙ Parámetros'!E20))),1)),0)</f>
        <v>3.7272727272727275</v>
      </c>
      <c r="AH52" s="90">
        <f>('⚙ Parámetros'!B5/100*AB52+'⚙ Parámetros'!B6/100*AC52+'⚙ Parámetros'!B7/100*AD52+'⚙ Parámetros'!B8/100*AE52+'⚙ Parámetros'!B9/100*AF52+'⚙ Parámetros'!B10/100*AG52)</f>
        <v>4.5906328607421525</v>
      </c>
      <c r="AI52" s="91">
        <f ca="1">MIN(1+MAX(0,TODAY()-DATE(2026,2,6))/365*'⚙ Parámetros'!B33,'⚙ Parámetros'!B34)</f>
        <v>1.0517808219178082</v>
      </c>
      <c r="AJ52" s="82">
        <f t="shared" ca="1" si="2"/>
        <v>4.82833960339428</v>
      </c>
      <c r="AK52" s="92" t="str">
        <f ca="1">IF(AB52&gt;='⚙ Parámetros'!B23,"⚑ AUTO-PRIOR.(D1≥8)",IF(AJ52&gt;='⚙ Parámetros'!B23,"PRIORITARIO",IF(AJ52&gt;='⚙ Parámetros'!B24,"ALTA PRIORIDAD",IF(AJ52&gt;='⚙ Parámetros'!B25,"PRIORIDAD MEDIA",IF(AJ52&gt;='⚙ Parámetros'!B26,"BAJA PRIORIDAD","DESCARTAR")))))</f>
        <v>BAJA PRIORIDAD</v>
      </c>
      <c r="AL52" s="69" t="str">
        <f t="shared" si="3"/>
        <v>—</v>
      </c>
      <c r="AM52" s="85">
        <v>25</v>
      </c>
      <c r="AN52" s="83" t="str">
        <f>IF(AM52="","—",IF(AM52&lt;'⚙ Parámetros'!B29,"🟢 Corto",IF(AM52&lt;'⚙ Parámetros'!B30,"🟡 Medio","🔴 Largo")))</f>
        <v>🟢 Corto</v>
      </c>
    </row>
    <row r="53" spans="1:40" ht="18.75" customHeight="1" x14ac:dyDescent="0.25">
      <c r="A53" s="69">
        <v>49</v>
      </c>
      <c r="B53" s="70" t="s">
        <v>233</v>
      </c>
      <c r="C53" s="4" t="s">
        <v>138</v>
      </c>
      <c r="D53" s="71" t="s">
        <v>179</v>
      </c>
      <c r="E53" s="72" t="s">
        <v>234</v>
      </c>
      <c r="F53" s="74">
        <v>1</v>
      </c>
      <c r="G53" s="73">
        <v>7</v>
      </c>
      <c r="H53" s="73">
        <v>5</v>
      </c>
      <c r="I53" s="74">
        <v>1</v>
      </c>
      <c r="J53" s="74">
        <v>1</v>
      </c>
      <c r="K53" s="74">
        <v>1</v>
      </c>
      <c r="L53" s="74">
        <v>1</v>
      </c>
      <c r="M53" s="73">
        <v>3</v>
      </c>
      <c r="N53" s="74">
        <v>1</v>
      </c>
      <c r="O53" s="74">
        <v>1</v>
      </c>
      <c r="P53" s="74">
        <v>1</v>
      </c>
      <c r="Q53" s="73">
        <v>6</v>
      </c>
      <c r="R53" s="76">
        <v>9</v>
      </c>
      <c r="S53" s="76">
        <v>9</v>
      </c>
      <c r="T53" s="73">
        <v>5</v>
      </c>
      <c r="U53" s="73">
        <v>5</v>
      </c>
      <c r="V53" s="77">
        <v>8</v>
      </c>
      <c r="W53" s="73">
        <v>6</v>
      </c>
      <c r="X53" s="77">
        <v>9</v>
      </c>
      <c r="Y53" s="73">
        <v>4</v>
      </c>
      <c r="Z53" s="74">
        <v>2</v>
      </c>
      <c r="AA53" s="73">
        <v>5</v>
      </c>
      <c r="AB53" s="80">
        <f>IFERROR((30/100*MAX('⚙ Parámetros'!D15/(1+2^(-'⚙ Parámetros'!C15*(F53-'⚙ Parámetros'!B15))),'⚙ Parámetros'!G15/(1+2^(-'⚙ Parámetros'!F15*(F53-'⚙ Parámetros'!E15))),1)*F53+30/100*MAX('⚙ Parámetros'!D15/(1+2^(-'⚙ Parámetros'!C15*(G53-'⚙ Parámetros'!B15))),'⚙ Parámetros'!G15/(1+2^(-'⚙ Parámetros'!F15*(G53-'⚙ Parámetros'!E15))),1)*G53+20/100*MAX('⚙ Parámetros'!D15/(1+2^(-'⚙ Parámetros'!C15*(H53-'⚙ Parámetros'!B15))),'⚙ Parámetros'!G15/(1+2^(-'⚙ Parámetros'!F15*(H53-'⚙ Parámetros'!E15))),1)*H53+20/100*MAX('⚙ Parámetros'!D15/(1+2^(-'⚙ Parámetros'!C15*(I53-'⚙ Parámetros'!B15))),'⚙ Parámetros'!G15/(1+2^(-'⚙ Parámetros'!F15*(I53-'⚙ Parámetros'!E15))),1)*I53)/(30/100*MAX('⚙ Parámetros'!D15/(1+2^(-'⚙ Parámetros'!C15*(F53-'⚙ Parámetros'!B15))),'⚙ Parámetros'!G15/(1+2^(-'⚙ Parámetros'!F15*(F53-'⚙ Parámetros'!E15))),1)+30/100*MAX('⚙ Parámetros'!D15/(1+2^(-'⚙ Parámetros'!C15*(G53-'⚙ Parámetros'!B15))),'⚙ Parámetros'!G15/(1+2^(-'⚙ Parámetros'!F15*(G53-'⚙ Parámetros'!E15))),1)+20/100*MAX('⚙ Parámetros'!D15/(1+2^(-'⚙ Parámetros'!C15*(H53-'⚙ Parámetros'!B15))),'⚙ Parámetros'!G15/(1+2^(-'⚙ Parámetros'!F15*(H53-'⚙ Parámetros'!E15))),1)+20/100*MAX('⚙ Parámetros'!D15/(1+2^(-'⚙ Parámetros'!C15*(I53-'⚙ Parámetros'!B15))),'⚙ Parámetros'!G15/(1+2^(-'⚙ Parámetros'!F15*(I53-'⚙ Parámetros'!E15))),1)),0)</f>
        <v>5.32258064516129</v>
      </c>
      <c r="AC53" s="80">
        <f>IFERROR((35/100*MAX('⚙ Parámetros'!D16/(1+2^(-'⚙ Parámetros'!C16*(J53-'⚙ Parámetros'!B16))),'⚙ Parámetros'!G16/(1+2^(-'⚙ Parámetros'!F16*(J53-'⚙ Parámetros'!E16))),1)*J53+25/100*MAX('⚙ Parámetros'!D16/(1+2^(-'⚙ Parámetros'!C16*(K53-'⚙ Parámetros'!B16))),'⚙ Parámetros'!G16/(1+2^(-'⚙ Parámetros'!F16*(K53-'⚙ Parámetros'!E16))),1)*K53+20/100*MAX('⚙ Parámetros'!D16/(1+2^(-'⚙ Parámetros'!C16*(L53-'⚙ Parámetros'!B16))),'⚙ Parámetros'!G16/(1+2^(-'⚙ Parámetros'!F16*(L53-'⚙ Parámetros'!E16))),1)*L53+20/100*MAX('⚙ Parámetros'!D16/(1+2^(-'⚙ Parámetros'!C16*(M53-'⚙ Parámetros'!B16))),'⚙ Parámetros'!G16/(1+2^(-'⚙ Parámetros'!F16*(M53-'⚙ Parámetros'!E16))),1)*M53)/(35/100*MAX('⚙ Parámetros'!D16/(1+2^(-'⚙ Parámetros'!C16*(J53-'⚙ Parámetros'!B16))),'⚙ Parámetros'!G16/(1+2^(-'⚙ Parámetros'!F16*(J53-'⚙ Parámetros'!E16))),1)+25/100*MAX('⚙ Parámetros'!D16/(1+2^(-'⚙ Parámetros'!C16*(K53-'⚙ Parámetros'!B16))),'⚙ Parámetros'!G16/(1+2^(-'⚙ Parámetros'!F16*(K53-'⚙ Parámetros'!E16))),1)+20/100*MAX('⚙ Parámetros'!D16/(1+2^(-'⚙ Parámetros'!C16*(L53-'⚙ Parámetros'!B16))),'⚙ Parámetros'!G16/(1+2^(-'⚙ Parámetros'!F16*(L53-'⚙ Parámetros'!E16))),1)+20/100*MAX('⚙ Parámetros'!D16/(1+2^(-'⚙ Parámetros'!C16*(M53-'⚙ Parámetros'!B16))),'⚙ Parámetros'!G16/(1+2^(-'⚙ Parámetros'!F16*(M53-'⚙ Parámetros'!E16))),1)),0)</f>
        <v>1.4000000000000001</v>
      </c>
      <c r="AD53" s="80">
        <f>IFERROR((30/100*MAX('⚙ Parámetros'!D17/(1+2^(-'⚙ Parámetros'!C17*(N53-'⚙ Parámetros'!B17))),'⚙ Parámetros'!G17/(1+2^(-'⚙ Parámetros'!F17*(N53-'⚙ Parámetros'!E17))),1)*N53+25/100*MAX('⚙ Parámetros'!D17/(1+2^(-'⚙ Parámetros'!C17*(O53-'⚙ Parámetros'!B17))),'⚙ Parámetros'!G17/(1+2^(-'⚙ Parámetros'!F17*(O53-'⚙ Parámetros'!E17))),1)*O53+25/100*MAX('⚙ Parámetros'!D17/(1+2^(-'⚙ Parámetros'!C17*(P53-'⚙ Parámetros'!B17))),'⚙ Parámetros'!G17/(1+2^(-'⚙ Parámetros'!F17*(P53-'⚙ Parámetros'!E17))),1)*P53+20/100*MAX('⚙ Parámetros'!D17/(1+2^(-'⚙ Parámetros'!C17*(Q53-'⚙ Parámetros'!B17))),'⚙ Parámetros'!G17/(1+2^(-'⚙ Parámetros'!F17*(Q53-'⚙ Parámetros'!E17))),1)*Q53)/(30/100*MAX('⚙ Parámetros'!D17/(1+2^(-'⚙ Parámetros'!C17*(N53-'⚙ Parámetros'!B17))),'⚙ Parámetros'!G17/(1+2^(-'⚙ Parámetros'!F17*(N53-'⚙ Parámetros'!E17))),1)+25/100*MAX('⚙ Parámetros'!D17/(1+2^(-'⚙ Parámetros'!C17*(O53-'⚙ Parámetros'!B17))),'⚙ Parámetros'!G17/(1+2^(-'⚙ Parámetros'!F17*(O53-'⚙ Parámetros'!E17))),1)+25/100*MAX('⚙ Parámetros'!D17/(1+2^(-'⚙ Parámetros'!C17*(P53-'⚙ Parámetros'!B17))),'⚙ Parámetros'!G17/(1+2^(-'⚙ Parámetros'!F17*(P53-'⚙ Parámetros'!E17))),1)+20/100*MAX('⚙ Parámetros'!D17/(1+2^(-'⚙ Parámetros'!C17*(Q53-'⚙ Parámetros'!B17))),'⚙ Parámetros'!G17/(1+2^(-'⚙ Parámetros'!F17*(Q53-'⚙ Parámetros'!E17))),1)),0)</f>
        <v>2.8749999999999996</v>
      </c>
      <c r="AE53" s="80">
        <f>IFERROR((30/100*MAX('⚙ Parámetros'!D18/(1+2^(-'⚙ Parámetros'!C18*(R53-'⚙ Parámetros'!B18))),'⚙ Parámetros'!G18/(1+2^(-'⚙ Parámetros'!F18*(R53-'⚙ Parámetros'!E18))),1)*R53+30/100*MAX('⚙ Parámetros'!D18/(1+2^(-'⚙ Parámetros'!C18*(S53-'⚙ Parámetros'!B18))),'⚙ Parámetros'!G18/(1+2^(-'⚙ Parámetros'!F18*(S53-'⚙ Parámetros'!E18))),1)*S53+20/100*MAX('⚙ Parámetros'!D18/(1+2^(-'⚙ Parámetros'!C18*(T53-'⚙ Parámetros'!B18))),'⚙ Parámetros'!G18/(1+2^(-'⚙ Parámetros'!F18*(T53-'⚙ Parámetros'!E18))),1)*T53+20/100*MAX('⚙ Parámetros'!D18/(1+2^(-'⚙ Parámetros'!C18*(U53-'⚙ Parámetros'!B18))),'⚙ Parámetros'!G18/(1+2^(-'⚙ Parámetros'!F18*(U53-'⚙ Parámetros'!E18))),1)*U53)/(30/100*MAX('⚙ Parámetros'!D18/(1+2^(-'⚙ Parámetros'!C18*(R53-'⚙ Parámetros'!B18))),'⚙ Parámetros'!G18/(1+2^(-'⚙ Parámetros'!F18*(R53-'⚙ Parámetros'!E18))),1)+30/100*MAX('⚙ Parámetros'!D18/(1+2^(-'⚙ Parámetros'!C18*(S53-'⚙ Parámetros'!B18))),'⚙ Parámetros'!G18/(1+2^(-'⚙ Parámetros'!F18*(S53-'⚙ Parámetros'!E18))),1)+20/100*MAX('⚙ Parámetros'!D18/(1+2^(-'⚙ Parámetros'!C18*(T53-'⚙ Parámetros'!B18))),'⚙ Parámetros'!G18/(1+2^(-'⚙ Parámetros'!F18*(T53-'⚙ Parámetros'!E18))),1)+20/100*MAX('⚙ Parámetros'!D18/(1+2^(-'⚙ Parámetros'!C18*(U53-'⚙ Parámetros'!B18))),'⚙ Parámetros'!G18/(1+2^(-'⚙ Parámetros'!F18*(U53-'⚙ Parámetros'!E18))),1)),0)</f>
        <v>8.1801060365339655</v>
      </c>
      <c r="AF53" s="80">
        <f>IFERROR((30/100*MAX('⚙ Parámetros'!D19/(1+2^(-'⚙ Parámetros'!C19*(V53-'⚙ Parámetros'!B19))),'⚙ Parámetros'!G19/(1+2^(-'⚙ Parámetros'!F19*(V53-'⚙ Parámetros'!E19))),1)*V53+35/100*MAX('⚙ Parámetros'!D19/(1+2^(-'⚙ Parámetros'!C19*(W53-'⚙ Parámetros'!B19))),'⚙ Parámetros'!G19/(1+2^(-'⚙ Parámetros'!F19*(W53-'⚙ Parámetros'!E19))),1)*W53+35/100*MAX('⚙ Parámetros'!D19/(1+2^(-'⚙ Parámetros'!C19*(X53-'⚙ Parámetros'!B19))),'⚙ Parámetros'!G19/(1+2^(-'⚙ Parámetros'!F19*(X53-'⚙ Parámetros'!E19))),1)*X53)/(30/100*MAX('⚙ Parámetros'!D19/(1+2^(-'⚙ Parámetros'!C19*(V53-'⚙ Parámetros'!B19))),'⚙ Parámetros'!G19/(1+2^(-'⚙ Parámetros'!F19*(V53-'⚙ Parámetros'!E19))),1)+35/100*MAX('⚙ Parámetros'!D19/(1+2^(-'⚙ Parámetros'!C19*(W53-'⚙ Parámetros'!B19))),'⚙ Parámetros'!G19/(1+2^(-'⚙ Parámetros'!F19*(W53-'⚙ Parámetros'!E19))),1)+35/100*MAX('⚙ Parámetros'!D19/(1+2^(-'⚙ Parámetros'!C19*(X53-'⚙ Parámetros'!B19))),'⚙ Parámetros'!G19/(1+2^(-'⚙ Parámetros'!F19*(X53-'⚙ Parámetros'!E19))),1)),0)</f>
        <v>8.0351483057098907</v>
      </c>
      <c r="AG53" s="80">
        <f>IFERROR((35/100*MAX('⚙ Parámetros'!D20/(1+2^(-'⚙ Parámetros'!C20*(Y53-'⚙ Parámetros'!B20))),'⚙ Parámetros'!G20/(1+2^(-'⚙ Parámetros'!F20*(Y53-'⚙ Parámetros'!E20))),1)*Y53+35/100*MAX('⚙ Parámetros'!D20/(1+2^(-'⚙ Parámetros'!C20*(Z53-'⚙ Parámetros'!B20))),'⚙ Parámetros'!G20/(1+2^(-'⚙ Parámetros'!F20*(Z53-'⚙ Parámetros'!E20))),1)*Z53+30/100*MAX('⚙ Parámetros'!D20/(1+2^(-'⚙ Parámetros'!C20*(AA53-'⚙ Parámetros'!B20))),'⚙ Parámetros'!G20/(1+2^(-'⚙ Parámetros'!F20*(AA53-'⚙ Parámetros'!E20))),1)*AA53)/(35/100*MAX('⚙ Parámetros'!D20/(1+2^(-'⚙ Parámetros'!C20*(Y53-'⚙ Parámetros'!B20))),'⚙ Parámetros'!G20/(1+2^(-'⚙ Parámetros'!F20*(Y53-'⚙ Parámetros'!E20))),1)+35/100*MAX('⚙ Parámetros'!D20/(1+2^(-'⚙ Parámetros'!C20*(Z53-'⚙ Parámetros'!B20))),'⚙ Parámetros'!G20/(1+2^(-'⚙ Parámetros'!F20*(Z53-'⚙ Parámetros'!E20))),1)+30/100*MAX('⚙ Parámetros'!D20/(1+2^(-'⚙ Parámetros'!C20*(AA53-'⚙ Parámetros'!B20))),'⚙ Parámetros'!G20/(1+2^(-'⚙ Parámetros'!F20*(AA53-'⚙ Parámetros'!E20))),1)),0)</f>
        <v>3.7272727272727275</v>
      </c>
      <c r="AH53" s="81">
        <f>('⚙ Parámetros'!B5/100*AB53+'⚙ Parámetros'!B6/100*AC53+'⚙ Parámetros'!B7/100*AD53+'⚙ Parámetros'!B8/100*AE53+'⚙ Parámetros'!B9/100*AF53+'⚙ Parámetros'!B10/100*AG53)</f>
        <v>4.5350835666852705</v>
      </c>
      <c r="AI53" s="33">
        <f ca="1">MIN(1+MAX(0,TODAY()-DATE(2026,2,13))/365*'⚙ Parámetros'!B33,'⚙ Parámetros'!B34)</f>
        <v>1.048904109589041</v>
      </c>
      <c r="AJ53" s="82">
        <f t="shared" ca="1" si="2"/>
        <v>4.7568677904259058</v>
      </c>
      <c r="AK53" s="83" t="str">
        <f ca="1">IF(AB53&gt;='⚙ Parámetros'!B23,"⚑ AUTO-PRIOR.(D1≥8)",IF(AJ53&gt;='⚙ Parámetros'!B23,"PRIORITARIO",IF(AJ53&gt;='⚙ Parámetros'!B24,"ALTA PRIORIDAD",IF(AJ53&gt;='⚙ Parámetros'!B25,"PRIORIDAD MEDIA",IF(AJ53&gt;='⚙ Parámetros'!B26,"BAJA PRIORIDAD","DESCARTAR")))))</f>
        <v>BAJA PRIORIDAD</v>
      </c>
      <c r="AL53" s="84" t="str">
        <f t="shared" si="3"/>
        <v>—</v>
      </c>
      <c r="AM53" s="85">
        <v>29</v>
      </c>
      <c r="AN53" s="83" t="str">
        <f>IF(AM53="","—",IF(AM53&lt;'⚙ Parámetros'!B29,"🟢 Corto",IF(AM53&lt;'⚙ Parámetros'!B30,"🟡 Medio","🔴 Largo")))</f>
        <v>🟢 Corto</v>
      </c>
    </row>
    <row r="54" spans="1:40" ht="18.75" customHeight="1" x14ac:dyDescent="0.25">
      <c r="A54" s="69">
        <v>50</v>
      </c>
      <c r="B54" s="30" t="s">
        <v>235</v>
      </c>
      <c r="C54" s="26" t="s">
        <v>138</v>
      </c>
      <c r="D54" s="71" t="s">
        <v>236</v>
      </c>
      <c r="E54" s="72" t="s">
        <v>237</v>
      </c>
      <c r="F54" s="74">
        <v>9</v>
      </c>
      <c r="G54" s="74">
        <v>1</v>
      </c>
      <c r="H54" s="74">
        <v>1</v>
      </c>
      <c r="I54" s="74">
        <v>9</v>
      </c>
      <c r="J54" s="74">
        <v>1</v>
      </c>
      <c r="K54" s="74">
        <v>1</v>
      </c>
      <c r="L54" s="74">
        <v>1</v>
      </c>
      <c r="M54" s="86">
        <v>3</v>
      </c>
      <c r="N54" s="74">
        <v>1</v>
      </c>
      <c r="O54" s="74">
        <v>1</v>
      </c>
      <c r="P54" s="74">
        <v>1</v>
      </c>
      <c r="Q54" s="74">
        <v>1</v>
      </c>
      <c r="R54" s="86">
        <v>5</v>
      </c>
      <c r="S54" s="86">
        <v>5</v>
      </c>
      <c r="T54" s="86">
        <v>5</v>
      </c>
      <c r="U54" s="86">
        <v>5</v>
      </c>
      <c r="V54" s="86">
        <v>5</v>
      </c>
      <c r="W54" s="86">
        <v>6</v>
      </c>
      <c r="X54" s="86">
        <v>6</v>
      </c>
      <c r="Y54" s="86">
        <v>4</v>
      </c>
      <c r="Z54" s="74">
        <v>2</v>
      </c>
      <c r="AA54" s="86">
        <v>5</v>
      </c>
      <c r="AB54" s="89">
        <f>IFERROR((30/100*MAX('⚙ Parámetros'!D15/(1+2^(-'⚙ Parámetros'!C15*(F54-'⚙ Parámetros'!B15))),'⚙ Parámetros'!G15/(1+2^(-'⚙ Parámetros'!F15*(F54-'⚙ Parámetros'!E15))),1)*F54+30/100*MAX('⚙ Parámetros'!D15/(1+2^(-'⚙ Parámetros'!C15*(G54-'⚙ Parámetros'!B15))),'⚙ Parámetros'!G15/(1+2^(-'⚙ Parámetros'!F15*(G54-'⚙ Parámetros'!E15))),1)*G54+20/100*MAX('⚙ Parámetros'!D15/(1+2^(-'⚙ Parámetros'!C15*(H54-'⚙ Parámetros'!B15))),'⚙ Parámetros'!G15/(1+2^(-'⚙ Parámetros'!F15*(H54-'⚙ Parámetros'!E15))),1)*H54+20/100*MAX('⚙ Parámetros'!D15/(1+2^(-'⚙ Parámetros'!C15*(I54-'⚙ Parámetros'!B15))),'⚙ Parámetros'!G15/(1+2^(-'⚙ Parámetros'!F15*(I54-'⚙ Parámetros'!E15))),1)*I54)/(30/100*MAX('⚙ Parámetros'!D15/(1+2^(-'⚙ Parámetros'!C15*(F54-'⚙ Parámetros'!B15))),'⚙ Parámetros'!G15/(1+2^(-'⚙ Parámetros'!F15*(F54-'⚙ Parámetros'!E15))),1)+30/100*MAX('⚙ Parámetros'!D15/(1+2^(-'⚙ Parámetros'!C15*(G54-'⚙ Parámetros'!B15))),'⚙ Parámetros'!G15/(1+2^(-'⚙ Parámetros'!F15*(G54-'⚙ Parámetros'!E15))),1)+20/100*MAX('⚙ Parámetros'!D15/(1+2^(-'⚙ Parámetros'!C15*(H54-'⚙ Parámetros'!B15))),'⚙ Parámetros'!G15/(1+2^(-'⚙ Parámetros'!F15*(H54-'⚙ Parámetros'!E15))),1)+20/100*MAX('⚙ Parámetros'!D15/(1+2^(-'⚙ Parámetros'!C15*(I54-'⚙ Parámetros'!B15))),'⚙ Parámetros'!G15/(1+2^(-'⚙ Parámetros'!F15*(I54-'⚙ Parámetros'!E15))),1)),0)</f>
        <v>8.1552795031055894</v>
      </c>
      <c r="AC54" s="89">
        <f>IFERROR((35/100*MAX('⚙ Parámetros'!D16/(1+2^(-'⚙ Parámetros'!C16*(J54-'⚙ Parámetros'!B16))),'⚙ Parámetros'!G16/(1+2^(-'⚙ Parámetros'!F16*(J54-'⚙ Parámetros'!E16))),1)*J54+25/100*MAX('⚙ Parámetros'!D16/(1+2^(-'⚙ Parámetros'!C16*(K54-'⚙ Parámetros'!B16))),'⚙ Parámetros'!G16/(1+2^(-'⚙ Parámetros'!F16*(K54-'⚙ Parámetros'!E16))),1)*K54+20/100*MAX('⚙ Parámetros'!D16/(1+2^(-'⚙ Parámetros'!C16*(L54-'⚙ Parámetros'!B16))),'⚙ Parámetros'!G16/(1+2^(-'⚙ Parámetros'!F16*(L54-'⚙ Parámetros'!E16))),1)*L54+20/100*MAX('⚙ Parámetros'!D16/(1+2^(-'⚙ Parámetros'!C16*(M54-'⚙ Parámetros'!B16))),'⚙ Parámetros'!G16/(1+2^(-'⚙ Parámetros'!F16*(M54-'⚙ Parámetros'!E16))),1)*M54)/(35/100*MAX('⚙ Parámetros'!D16/(1+2^(-'⚙ Parámetros'!C16*(J54-'⚙ Parámetros'!B16))),'⚙ Parámetros'!G16/(1+2^(-'⚙ Parámetros'!F16*(J54-'⚙ Parámetros'!E16))),1)+25/100*MAX('⚙ Parámetros'!D16/(1+2^(-'⚙ Parámetros'!C16*(K54-'⚙ Parámetros'!B16))),'⚙ Parámetros'!G16/(1+2^(-'⚙ Parámetros'!F16*(K54-'⚙ Parámetros'!E16))),1)+20/100*MAX('⚙ Parámetros'!D16/(1+2^(-'⚙ Parámetros'!C16*(L54-'⚙ Parámetros'!B16))),'⚙ Parámetros'!G16/(1+2^(-'⚙ Parámetros'!F16*(L54-'⚙ Parámetros'!E16))),1)+20/100*MAX('⚙ Parámetros'!D16/(1+2^(-'⚙ Parámetros'!C16*(M54-'⚙ Parámetros'!B16))),'⚙ Parámetros'!G16/(1+2^(-'⚙ Parámetros'!F16*(M54-'⚙ Parámetros'!E16))),1)),0)</f>
        <v>1.4000000000000001</v>
      </c>
      <c r="AD54" s="89">
        <f>IFERROR((30/100*MAX('⚙ Parámetros'!D17/(1+2^(-'⚙ Parámetros'!C17*(N54-'⚙ Parámetros'!B17))),'⚙ Parámetros'!G17/(1+2^(-'⚙ Parámetros'!F17*(N54-'⚙ Parámetros'!E17))),1)*N54+25/100*MAX('⚙ Parámetros'!D17/(1+2^(-'⚙ Parámetros'!C17*(O54-'⚙ Parámetros'!B17))),'⚙ Parámetros'!G17/(1+2^(-'⚙ Parámetros'!F17*(O54-'⚙ Parámetros'!E17))),1)*O54+25/100*MAX('⚙ Parámetros'!D17/(1+2^(-'⚙ Parámetros'!C17*(P54-'⚙ Parámetros'!B17))),'⚙ Parámetros'!G17/(1+2^(-'⚙ Parámetros'!F17*(P54-'⚙ Parámetros'!E17))),1)*P54+20/100*MAX('⚙ Parámetros'!D17/(1+2^(-'⚙ Parámetros'!C17*(Q54-'⚙ Parámetros'!B17))),'⚙ Parámetros'!G17/(1+2^(-'⚙ Parámetros'!F17*(Q54-'⚙ Parámetros'!E17))),1)*Q54)/(30/100*MAX('⚙ Parámetros'!D17/(1+2^(-'⚙ Parámetros'!C17*(N54-'⚙ Parámetros'!B17))),'⚙ Parámetros'!G17/(1+2^(-'⚙ Parámetros'!F17*(N54-'⚙ Parámetros'!E17))),1)+25/100*MAX('⚙ Parámetros'!D17/(1+2^(-'⚙ Parámetros'!C17*(O54-'⚙ Parámetros'!B17))),'⚙ Parámetros'!G17/(1+2^(-'⚙ Parámetros'!F17*(O54-'⚙ Parámetros'!E17))),1)+25/100*MAX('⚙ Parámetros'!D17/(1+2^(-'⚙ Parámetros'!C17*(P54-'⚙ Parámetros'!B17))),'⚙ Parámetros'!G17/(1+2^(-'⚙ Parámetros'!F17*(P54-'⚙ Parámetros'!E17))),1)+20/100*MAX('⚙ Parámetros'!D17/(1+2^(-'⚙ Parámetros'!C17*(Q54-'⚙ Parámetros'!B17))),'⚙ Parámetros'!G17/(1+2^(-'⚙ Parámetros'!F17*(Q54-'⚙ Parámetros'!E17))),1)),0)</f>
        <v>1</v>
      </c>
      <c r="AE54" s="89">
        <f>IFERROR((30/100*MAX('⚙ Parámetros'!D18/(1+2^(-'⚙ Parámetros'!C18*(R54-'⚙ Parámetros'!B18))),'⚙ Parámetros'!G18/(1+2^(-'⚙ Parámetros'!F18*(R54-'⚙ Parámetros'!E18))),1)*R54+30/100*MAX('⚙ Parámetros'!D18/(1+2^(-'⚙ Parámetros'!C18*(S54-'⚙ Parámetros'!B18))),'⚙ Parámetros'!G18/(1+2^(-'⚙ Parámetros'!F18*(S54-'⚙ Parámetros'!E18))),1)*S54+20/100*MAX('⚙ Parámetros'!D18/(1+2^(-'⚙ Parámetros'!C18*(T54-'⚙ Parámetros'!B18))),'⚙ Parámetros'!G18/(1+2^(-'⚙ Parámetros'!F18*(T54-'⚙ Parámetros'!E18))),1)*T54+20/100*MAX('⚙ Parámetros'!D18/(1+2^(-'⚙ Parámetros'!C18*(U54-'⚙ Parámetros'!B18))),'⚙ Parámetros'!G18/(1+2^(-'⚙ Parámetros'!F18*(U54-'⚙ Parámetros'!E18))),1)*U54)/(30/100*MAX('⚙ Parámetros'!D18/(1+2^(-'⚙ Parámetros'!C18*(R54-'⚙ Parámetros'!B18))),'⚙ Parámetros'!G18/(1+2^(-'⚙ Parámetros'!F18*(R54-'⚙ Parámetros'!E18))),1)+30/100*MAX('⚙ Parámetros'!D18/(1+2^(-'⚙ Parámetros'!C18*(S54-'⚙ Parámetros'!B18))),'⚙ Parámetros'!G18/(1+2^(-'⚙ Parámetros'!F18*(S54-'⚙ Parámetros'!E18))),1)+20/100*MAX('⚙ Parámetros'!D18/(1+2^(-'⚙ Parámetros'!C18*(T54-'⚙ Parámetros'!B18))),'⚙ Parámetros'!G18/(1+2^(-'⚙ Parámetros'!F18*(T54-'⚙ Parámetros'!E18))),1)+20/100*MAX('⚙ Parámetros'!D18/(1+2^(-'⚙ Parámetros'!C18*(U54-'⚙ Parámetros'!B18))),'⚙ Parámetros'!G18/(1+2^(-'⚙ Parámetros'!F18*(U54-'⚙ Parámetros'!E18))),1)),0)</f>
        <v>5</v>
      </c>
      <c r="AF54" s="89">
        <f>IFERROR((30/100*MAX('⚙ Parámetros'!D19/(1+2^(-'⚙ Parámetros'!C19*(V54-'⚙ Parámetros'!B19))),'⚙ Parámetros'!G19/(1+2^(-'⚙ Parámetros'!F19*(V54-'⚙ Parámetros'!E19))),1)*V54+35/100*MAX('⚙ Parámetros'!D19/(1+2^(-'⚙ Parámetros'!C19*(W54-'⚙ Parámetros'!B19))),'⚙ Parámetros'!G19/(1+2^(-'⚙ Parámetros'!F19*(W54-'⚙ Parámetros'!E19))),1)*W54+35/100*MAX('⚙ Parámetros'!D19/(1+2^(-'⚙ Parámetros'!C19*(X54-'⚙ Parámetros'!B19))),'⚙ Parámetros'!G19/(1+2^(-'⚙ Parámetros'!F19*(X54-'⚙ Parámetros'!E19))),1)*X54)/(30/100*MAX('⚙ Parámetros'!D19/(1+2^(-'⚙ Parámetros'!C19*(V54-'⚙ Parámetros'!B19))),'⚙ Parámetros'!G19/(1+2^(-'⚙ Parámetros'!F19*(V54-'⚙ Parámetros'!E19))),1)+35/100*MAX('⚙ Parámetros'!D19/(1+2^(-'⚙ Parámetros'!C19*(W54-'⚙ Parámetros'!B19))),'⚙ Parámetros'!G19/(1+2^(-'⚙ Parámetros'!F19*(W54-'⚙ Parámetros'!E19))),1)+35/100*MAX('⚙ Parámetros'!D19/(1+2^(-'⚙ Parámetros'!C19*(X54-'⚙ Parámetros'!B19))),'⚙ Parámetros'!G19/(1+2^(-'⚙ Parámetros'!F19*(X54-'⚙ Parámetros'!E19))),1)),0)</f>
        <v>5.7368421052631575</v>
      </c>
      <c r="AG54" s="89">
        <f>IFERROR((35/100*MAX('⚙ Parámetros'!D20/(1+2^(-'⚙ Parámetros'!C20*(Y54-'⚙ Parámetros'!B20))),'⚙ Parámetros'!G20/(1+2^(-'⚙ Parámetros'!F20*(Y54-'⚙ Parámetros'!E20))),1)*Y54+35/100*MAX('⚙ Parámetros'!D20/(1+2^(-'⚙ Parámetros'!C20*(Z54-'⚙ Parámetros'!B20))),'⚙ Parámetros'!G20/(1+2^(-'⚙ Parámetros'!F20*(Z54-'⚙ Parámetros'!E20))),1)*Z54+30/100*MAX('⚙ Parámetros'!D20/(1+2^(-'⚙ Parámetros'!C20*(AA54-'⚙ Parámetros'!B20))),'⚙ Parámetros'!G20/(1+2^(-'⚙ Parámetros'!F20*(AA54-'⚙ Parámetros'!E20))),1)*AA54)/(35/100*MAX('⚙ Parámetros'!D20/(1+2^(-'⚙ Parámetros'!C20*(Y54-'⚙ Parámetros'!B20))),'⚙ Parámetros'!G20/(1+2^(-'⚙ Parámetros'!F20*(Y54-'⚙ Parámetros'!E20))),1)+35/100*MAX('⚙ Parámetros'!D20/(1+2^(-'⚙ Parámetros'!C20*(Z54-'⚙ Parámetros'!B20))),'⚙ Parámetros'!G20/(1+2^(-'⚙ Parámetros'!F20*(Z54-'⚙ Parámetros'!E20))),1)+30/100*MAX('⚙ Parámetros'!D20/(1+2^(-'⚙ Parámetros'!C20*(AA54-'⚙ Parámetros'!B20))),'⚙ Parámetros'!G20/(1+2^(-'⚙ Parámetros'!F20*(AA54-'⚙ Parámetros'!E20))),1)),0)</f>
        <v>3.7272727272727275</v>
      </c>
      <c r="AH54" s="90">
        <f>('⚙ Parámetros'!B5/100*AB54+'⚙ Parámetros'!B6/100*AC54+'⚙ Parámetros'!B7/100*AD54+'⚙ Parámetros'!B8/100*AE54+'⚙ Parámetros'!B9/100*AF54+'⚙ Parámetros'!B10/100*AG54)</f>
        <v>4.398449879639811</v>
      </c>
      <c r="AI54" s="91">
        <f ca="1">MIN(1+MAX(0,TODAY()-DATE(2026,2,25))/365*'⚙ Parámetros'!B33,'⚙ Parámetros'!B34)</f>
        <v>1.043972602739726</v>
      </c>
      <c r="AJ54" s="82">
        <f t="shared" ca="1" si="2"/>
        <v>4.5918611688678084</v>
      </c>
      <c r="AK54" s="92" t="str">
        <f ca="1">IF(AB54&gt;='⚙ Parámetros'!B23,"⚑ AUTO-PRIOR.(D1≥8)",IF(AJ54&gt;='⚙ Parámetros'!B23,"PRIORITARIO",IF(AJ54&gt;='⚙ Parámetros'!B24,"ALTA PRIORIDAD",IF(AJ54&gt;='⚙ Parámetros'!B25,"PRIORIDAD MEDIA",IF(AJ54&gt;='⚙ Parámetros'!B26,"BAJA PRIORIDAD","DESCARTAR")))))</f>
        <v>BAJA PRIORIDAD</v>
      </c>
      <c r="AL54" s="29" t="str">
        <f t="shared" si="3"/>
        <v>SÍ ⚑</v>
      </c>
      <c r="AM54" s="85">
        <v>45</v>
      </c>
      <c r="AN54" s="83" t="str">
        <f>IF(AM54="","—",IF(AM54&lt;'⚙ Parámetros'!B29,"🟢 Corto",IF(AM54&lt;'⚙ Parámetros'!B30,"🟡 Medio","🔴 Largo")))</f>
        <v>🟡 Medio</v>
      </c>
    </row>
    <row r="55" spans="1:40" ht="18.75" customHeight="1" x14ac:dyDescent="0.25">
      <c r="A55" s="69">
        <v>51</v>
      </c>
      <c r="B55" s="70" t="s">
        <v>238</v>
      </c>
      <c r="C55" s="4" t="s">
        <v>239</v>
      </c>
      <c r="D55" s="71" t="s">
        <v>136</v>
      </c>
      <c r="E55" s="72" t="s">
        <v>240</v>
      </c>
      <c r="F55" s="74">
        <v>1</v>
      </c>
      <c r="G55" s="74">
        <v>1</v>
      </c>
      <c r="H55" s="74">
        <v>1</v>
      </c>
      <c r="I55" s="74">
        <v>1</v>
      </c>
      <c r="J55" s="73">
        <v>7</v>
      </c>
      <c r="K55" s="74">
        <v>1</v>
      </c>
      <c r="L55" s="75">
        <v>8</v>
      </c>
      <c r="M55" s="73">
        <v>3</v>
      </c>
      <c r="N55" s="73">
        <v>7</v>
      </c>
      <c r="O55" s="87">
        <v>8</v>
      </c>
      <c r="P55" s="74">
        <v>1</v>
      </c>
      <c r="Q55" s="74">
        <v>1</v>
      </c>
      <c r="R55" s="73">
        <v>5</v>
      </c>
      <c r="S55" s="73">
        <v>5</v>
      </c>
      <c r="T55" s="73">
        <v>5</v>
      </c>
      <c r="U55" s="73">
        <v>5</v>
      </c>
      <c r="V55" s="73">
        <v>5</v>
      </c>
      <c r="W55" s="73">
        <v>6</v>
      </c>
      <c r="X55" s="73">
        <v>3</v>
      </c>
      <c r="Y55" s="73">
        <v>4</v>
      </c>
      <c r="Z55" s="74">
        <v>2</v>
      </c>
      <c r="AA55" s="78">
        <v>8</v>
      </c>
      <c r="AB55" s="80">
        <f>IFERROR((30/100*MAX('⚙ Parámetros'!D15/(1+2^(-'⚙ Parámetros'!C15*(F55-'⚙ Parámetros'!B15))),'⚙ Parámetros'!G15/(1+2^(-'⚙ Parámetros'!F15*(F55-'⚙ Parámetros'!E15))),1)*F55+30/100*MAX('⚙ Parámetros'!D15/(1+2^(-'⚙ Parámetros'!C15*(G55-'⚙ Parámetros'!B15))),'⚙ Parámetros'!G15/(1+2^(-'⚙ Parámetros'!F15*(G55-'⚙ Parámetros'!E15))),1)*G55+20/100*MAX('⚙ Parámetros'!D15/(1+2^(-'⚙ Parámetros'!C15*(H55-'⚙ Parámetros'!B15))),'⚙ Parámetros'!G15/(1+2^(-'⚙ Parámetros'!F15*(H55-'⚙ Parámetros'!E15))),1)*H55+20/100*MAX('⚙ Parámetros'!D15/(1+2^(-'⚙ Parámetros'!C15*(I55-'⚙ Parámetros'!B15))),'⚙ Parámetros'!G15/(1+2^(-'⚙ Parámetros'!F15*(I55-'⚙ Parámetros'!E15))),1)*I55)/(30/100*MAX('⚙ Parámetros'!D15/(1+2^(-'⚙ Parámetros'!C15*(F55-'⚙ Parámetros'!B15))),'⚙ Parámetros'!G15/(1+2^(-'⚙ Parámetros'!F15*(F55-'⚙ Parámetros'!E15))),1)+30/100*MAX('⚙ Parámetros'!D15/(1+2^(-'⚙ Parámetros'!C15*(G55-'⚙ Parámetros'!B15))),'⚙ Parámetros'!G15/(1+2^(-'⚙ Parámetros'!F15*(G55-'⚙ Parámetros'!E15))),1)+20/100*MAX('⚙ Parámetros'!D15/(1+2^(-'⚙ Parámetros'!C15*(H55-'⚙ Parámetros'!B15))),'⚙ Parámetros'!G15/(1+2^(-'⚙ Parámetros'!F15*(H55-'⚙ Parámetros'!E15))),1)+20/100*MAX('⚙ Parámetros'!D15/(1+2^(-'⚙ Parámetros'!C15*(I55-'⚙ Parámetros'!B15))),'⚙ Parámetros'!G15/(1+2^(-'⚙ Parámetros'!F15*(I55-'⚙ Parámetros'!E15))),1)),0)</f>
        <v>1</v>
      </c>
      <c r="AC55" s="80">
        <f>IFERROR((35/100*MAX('⚙ Parámetros'!D16/(1+2^(-'⚙ Parámetros'!C16*(J55-'⚙ Parámetros'!B16))),'⚙ Parámetros'!G16/(1+2^(-'⚙ Parámetros'!F16*(J55-'⚙ Parámetros'!E16))),1)*J55+25/100*MAX('⚙ Parámetros'!D16/(1+2^(-'⚙ Parámetros'!C16*(K55-'⚙ Parámetros'!B16))),'⚙ Parámetros'!G16/(1+2^(-'⚙ Parámetros'!F16*(K55-'⚙ Parámetros'!E16))),1)*K55+20/100*MAX('⚙ Parámetros'!D16/(1+2^(-'⚙ Parámetros'!C16*(L55-'⚙ Parámetros'!B16))),'⚙ Parámetros'!G16/(1+2^(-'⚙ Parámetros'!F16*(L55-'⚙ Parámetros'!E16))),1)*L55+20/100*MAX('⚙ Parámetros'!D16/(1+2^(-'⚙ Parámetros'!C16*(M55-'⚙ Parámetros'!B16))),'⚙ Parámetros'!G16/(1+2^(-'⚙ Parámetros'!F16*(M55-'⚙ Parámetros'!E16))),1)*M55)/(35/100*MAX('⚙ Parámetros'!D16/(1+2^(-'⚙ Parámetros'!C16*(J55-'⚙ Parámetros'!B16))),'⚙ Parámetros'!G16/(1+2^(-'⚙ Parámetros'!F16*(J55-'⚙ Parámetros'!E16))),1)+25/100*MAX('⚙ Parámetros'!D16/(1+2^(-'⚙ Parámetros'!C16*(K55-'⚙ Parámetros'!B16))),'⚙ Parámetros'!G16/(1+2^(-'⚙ Parámetros'!F16*(K55-'⚙ Parámetros'!E16))),1)+20/100*MAX('⚙ Parámetros'!D16/(1+2^(-'⚙ Parámetros'!C16*(L55-'⚙ Parámetros'!B16))),'⚙ Parámetros'!G16/(1+2^(-'⚙ Parámetros'!F16*(L55-'⚙ Parámetros'!E16))),1)+20/100*MAX('⚙ Parámetros'!D16/(1+2^(-'⚙ Parámetros'!C16*(M55-'⚙ Parámetros'!B16))),'⚙ Parámetros'!G16/(1+2^(-'⚙ Parámetros'!F16*(M55-'⚙ Parámetros'!E16))),1)),0)</f>
        <v>6.3868613138686126</v>
      </c>
      <c r="AD55" s="80">
        <f>IFERROR((30/100*MAX('⚙ Parámetros'!D17/(1+2^(-'⚙ Parámetros'!C17*(N55-'⚙ Parámetros'!B17))),'⚙ Parámetros'!G17/(1+2^(-'⚙ Parámetros'!F17*(N55-'⚙ Parámetros'!E17))),1)*N55+25/100*MAX('⚙ Parámetros'!D17/(1+2^(-'⚙ Parámetros'!C17*(O55-'⚙ Parámetros'!B17))),'⚙ Parámetros'!G17/(1+2^(-'⚙ Parámetros'!F17*(O55-'⚙ Parámetros'!E17))),1)*O55+25/100*MAX('⚙ Parámetros'!D17/(1+2^(-'⚙ Parámetros'!C17*(P55-'⚙ Parámetros'!B17))),'⚙ Parámetros'!G17/(1+2^(-'⚙ Parámetros'!F17*(P55-'⚙ Parámetros'!E17))),1)*P55+20/100*MAX('⚙ Parámetros'!D17/(1+2^(-'⚙ Parámetros'!C17*(Q55-'⚙ Parámetros'!B17))),'⚙ Parámetros'!G17/(1+2^(-'⚙ Parámetros'!F17*(Q55-'⚙ Parámetros'!E17))),1)*Q55)/(30/100*MAX('⚙ Parámetros'!D17/(1+2^(-'⚙ Parámetros'!C17*(N55-'⚙ Parámetros'!B17))),'⚙ Parámetros'!G17/(1+2^(-'⚙ Parámetros'!F17*(N55-'⚙ Parámetros'!E17))),1)+25/100*MAX('⚙ Parámetros'!D17/(1+2^(-'⚙ Parámetros'!C17*(O55-'⚙ Parámetros'!B17))),'⚙ Parámetros'!G17/(1+2^(-'⚙ Parámetros'!F17*(O55-'⚙ Parámetros'!E17))),1)+25/100*MAX('⚙ Parámetros'!D17/(1+2^(-'⚙ Parámetros'!C17*(P55-'⚙ Parámetros'!B17))),'⚙ Parámetros'!G17/(1+2^(-'⚙ Parámetros'!F17*(P55-'⚙ Parámetros'!E17))),1)+20/100*MAX('⚙ Parámetros'!D17/(1+2^(-'⚙ Parámetros'!C17*(Q55-'⚙ Parámetros'!B17))),'⚙ Parámetros'!G17/(1+2^(-'⚙ Parámetros'!F17*(Q55-'⚙ Parámetros'!E17))),1)),0)</f>
        <v>6.2444444444444436</v>
      </c>
      <c r="AE55" s="80">
        <f>IFERROR((30/100*MAX('⚙ Parámetros'!D18/(1+2^(-'⚙ Parámetros'!C18*(R55-'⚙ Parámetros'!B18))),'⚙ Parámetros'!G18/(1+2^(-'⚙ Parámetros'!F18*(R55-'⚙ Parámetros'!E18))),1)*R55+30/100*MAX('⚙ Parámetros'!D18/(1+2^(-'⚙ Parámetros'!C18*(S55-'⚙ Parámetros'!B18))),'⚙ Parámetros'!G18/(1+2^(-'⚙ Parámetros'!F18*(S55-'⚙ Parámetros'!E18))),1)*S55+20/100*MAX('⚙ Parámetros'!D18/(1+2^(-'⚙ Parámetros'!C18*(T55-'⚙ Parámetros'!B18))),'⚙ Parámetros'!G18/(1+2^(-'⚙ Parámetros'!F18*(T55-'⚙ Parámetros'!E18))),1)*T55+20/100*MAX('⚙ Parámetros'!D18/(1+2^(-'⚙ Parámetros'!C18*(U55-'⚙ Parámetros'!B18))),'⚙ Parámetros'!G18/(1+2^(-'⚙ Parámetros'!F18*(U55-'⚙ Parámetros'!E18))),1)*U55)/(30/100*MAX('⚙ Parámetros'!D18/(1+2^(-'⚙ Parámetros'!C18*(R55-'⚙ Parámetros'!B18))),'⚙ Parámetros'!G18/(1+2^(-'⚙ Parámetros'!F18*(R55-'⚙ Parámetros'!E18))),1)+30/100*MAX('⚙ Parámetros'!D18/(1+2^(-'⚙ Parámetros'!C18*(S55-'⚙ Parámetros'!B18))),'⚙ Parámetros'!G18/(1+2^(-'⚙ Parámetros'!F18*(S55-'⚙ Parámetros'!E18))),1)+20/100*MAX('⚙ Parámetros'!D18/(1+2^(-'⚙ Parámetros'!C18*(T55-'⚙ Parámetros'!B18))),'⚙ Parámetros'!G18/(1+2^(-'⚙ Parámetros'!F18*(T55-'⚙ Parámetros'!E18))),1)+20/100*MAX('⚙ Parámetros'!D18/(1+2^(-'⚙ Parámetros'!C18*(U55-'⚙ Parámetros'!B18))),'⚙ Parámetros'!G18/(1+2^(-'⚙ Parámetros'!F18*(U55-'⚙ Parámetros'!E18))),1)),0)</f>
        <v>5</v>
      </c>
      <c r="AF55" s="80">
        <f>IFERROR((30/100*MAX('⚙ Parámetros'!D19/(1+2^(-'⚙ Parámetros'!C19*(V55-'⚙ Parámetros'!B19))),'⚙ Parámetros'!G19/(1+2^(-'⚙ Parámetros'!F19*(V55-'⚙ Parámetros'!E19))),1)*V55+35/100*MAX('⚙ Parámetros'!D19/(1+2^(-'⚙ Parámetros'!C19*(W55-'⚙ Parámetros'!B19))),'⚙ Parámetros'!G19/(1+2^(-'⚙ Parámetros'!F19*(W55-'⚙ Parámetros'!E19))),1)*W55+35/100*MAX('⚙ Parámetros'!D19/(1+2^(-'⚙ Parámetros'!C19*(X55-'⚙ Parámetros'!B19))),'⚙ Parámetros'!G19/(1+2^(-'⚙ Parámetros'!F19*(X55-'⚙ Parámetros'!E19))),1)*X55)/(30/100*MAX('⚙ Parámetros'!D19/(1+2^(-'⚙ Parámetros'!C19*(V55-'⚙ Parámetros'!B19))),'⚙ Parámetros'!G19/(1+2^(-'⚙ Parámetros'!F19*(V55-'⚙ Parámetros'!E19))),1)+35/100*MAX('⚙ Parámetros'!D19/(1+2^(-'⚙ Parámetros'!C19*(W55-'⚙ Parámetros'!B19))),'⚙ Parámetros'!G19/(1+2^(-'⚙ Parámetros'!F19*(W55-'⚙ Parámetros'!E19))),1)+35/100*MAX('⚙ Parámetros'!D19/(1+2^(-'⚙ Parámetros'!C19*(X55-'⚙ Parámetros'!B19))),'⚙ Parámetros'!G19/(1+2^(-'⚙ Parámetros'!F19*(X55-'⚙ Parámetros'!E19))),1)),0)</f>
        <v>5.0782122905027931</v>
      </c>
      <c r="AG55" s="80">
        <f>IFERROR((35/100*MAX('⚙ Parámetros'!D20/(1+2^(-'⚙ Parámetros'!C20*(Y55-'⚙ Parámetros'!B20))),'⚙ Parámetros'!G20/(1+2^(-'⚙ Parámetros'!F20*(Y55-'⚙ Parámetros'!E20))),1)*Y55+35/100*MAX('⚙ Parámetros'!D20/(1+2^(-'⚙ Parámetros'!C20*(Z55-'⚙ Parámetros'!B20))),'⚙ Parámetros'!G20/(1+2^(-'⚙ Parámetros'!F20*(Z55-'⚙ Parámetros'!E20))),1)*Z55+30/100*MAX('⚙ Parámetros'!D20/(1+2^(-'⚙ Parámetros'!C20*(AA55-'⚙ Parámetros'!B20))),'⚙ Parámetros'!G20/(1+2^(-'⚙ Parámetros'!F20*(AA55-'⚙ Parámetros'!E20))),1)*AA55)/(35/100*MAX('⚙ Parámetros'!D20/(1+2^(-'⚙ Parámetros'!C20*(Y55-'⚙ Parámetros'!B20))),'⚙ Parámetros'!G20/(1+2^(-'⚙ Parámetros'!F20*(Y55-'⚙ Parámetros'!E20))),1)+35/100*MAX('⚙ Parámetros'!D20/(1+2^(-'⚙ Parámetros'!C20*(Z55-'⚙ Parámetros'!B20))),'⚙ Parámetros'!G20/(1+2^(-'⚙ Parámetros'!F20*(Z55-'⚙ Parámetros'!E20))),1)+30/100*MAX('⚙ Parámetros'!D20/(1+2^(-'⚙ Parámetros'!C20*(AA55-'⚙ Parámetros'!B20))),'⚙ Parámetros'!G20/(1+2^(-'⚙ Parámetros'!F20*(AA55-'⚙ Parámetros'!E20))),1)),0)</f>
        <v>5.8125</v>
      </c>
      <c r="AH55" s="81">
        <f>('⚙ Parámetros'!B5/100*AB55+'⚙ Parámetros'!B6/100*AC55+'⚙ Parámetros'!B7/100*AD55+'⚙ Parámetros'!B8/100*AE55+'⚙ Parámetros'!B9/100*AF55+'⚙ Parámetros'!B10/100*AG55)</f>
        <v>4.3990823807128905</v>
      </c>
      <c r="AI55" s="33">
        <f ca="1">MIN(1+MAX(0,TODAY()-DATE(2025,6,16))/365*'⚙ Parámetros'!B33,'⚙ Parámetros'!B34)</f>
        <v>1.1483561643835616</v>
      </c>
      <c r="AJ55" s="82">
        <f t="shared" ca="1" si="2"/>
        <v>5.0517133695227612</v>
      </c>
      <c r="AK55" s="83" t="str">
        <f ca="1">IF(AB55&gt;='⚙ Parámetros'!B23,"⚑ AUTO-PRIOR.(D1≥8)",IF(AJ55&gt;='⚙ Parámetros'!B23,"PRIORITARIO",IF(AJ55&gt;='⚙ Parámetros'!B24,"ALTA PRIORIDAD",IF(AJ55&gt;='⚙ Parámetros'!B25,"PRIORIDAD MEDIA",IF(AJ55&gt;='⚙ Parámetros'!B26,"BAJA PRIORIDAD","DESCARTAR")))))</f>
        <v>BAJA PRIORIDAD</v>
      </c>
      <c r="AL55" s="84" t="str">
        <f t="shared" si="3"/>
        <v>—</v>
      </c>
      <c r="AM55" s="85">
        <v>16</v>
      </c>
      <c r="AN55" s="83" t="str">
        <f>IF(AM55="","—",IF(AM55&lt;'⚙ Parámetros'!B29,"🟢 Corto",IF(AM55&lt;'⚙ Parámetros'!B30,"🟡 Medio","🔴 Largo")))</f>
        <v>🟢 Corto</v>
      </c>
    </row>
    <row r="56" spans="1:40" ht="18.75" customHeight="1" x14ac:dyDescent="0.25">
      <c r="A56" s="69">
        <v>52</v>
      </c>
      <c r="B56" s="30" t="s">
        <v>241</v>
      </c>
      <c r="C56" s="26" t="s">
        <v>147</v>
      </c>
      <c r="D56" s="71" t="s">
        <v>139</v>
      </c>
      <c r="E56" s="72" t="s">
        <v>216</v>
      </c>
      <c r="F56" s="74">
        <v>1</v>
      </c>
      <c r="G56" s="74">
        <v>1</v>
      </c>
      <c r="H56" s="86">
        <v>5</v>
      </c>
      <c r="I56" s="74">
        <v>1</v>
      </c>
      <c r="J56" s="74">
        <v>1</v>
      </c>
      <c r="K56" s="74">
        <v>1</v>
      </c>
      <c r="L56" s="74">
        <v>1</v>
      </c>
      <c r="M56" s="86">
        <v>3</v>
      </c>
      <c r="N56" s="86">
        <v>7</v>
      </c>
      <c r="O56" s="74">
        <v>1</v>
      </c>
      <c r="P56" s="86">
        <v>7</v>
      </c>
      <c r="Q56" s="86">
        <v>6</v>
      </c>
      <c r="R56" s="76">
        <v>9</v>
      </c>
      <c r="S56" s="76">
        <v>9</v>
      </c>
      <c r="T56" s="86">
        <v>5</v>
      </c>
      <c r="U56" s="86">
        <v>5</v>
      </c>
      <c r="V56" s="77">
        <v>8</v>
      </c>
      <c r="W56" s="86">
        <v>6</v>
      </c>
      <c r="X56" s="77">
        <v>9</v>
      </c>
      <c r="Y56" s="86">
        <v>4</v>
      </c>
      <c r="Z56" s="74">
        <v>2</v>
      </c>
      <c r="AA56" s="78">
        <v>8</v>
      </c>
      <c r="AB56" s="89">
        <f>IFERROR((30/100*MAX('⚙ Parámetros'!D15/(1+2^(-'⚙ Parámetros'!C15*(F56-'⚙ Parámetros'!B15))),'⚙ Parámetros'!G15/(1+2^(-'⚙ Parámetros'!F15*(F56-'⚙ Parámetros'!E15))),1)*F56+30/100*MAX('⚙ Parámetros'!D15/(1+2^(-'⚙ Parámetros'!C15*(G56-'⚙ Parámetros'!B15))),'⚙ Parámetros'!G15/(1+2^(-'⚙ Parámetros'!F15*(G56-'⚙ Parámetros'!E15))),1)*G56+20/100*MAX('⚙ Parámetros'!D15/(1+2^(-'⚙ Parámetros'!C15*(H56-'⚙ Parámetros'!B15))),'⚙ Parámetros'!G15/(1+2^(-'⚙ Parámetros'!F15*(H56-'⚙ Parámetros'!E15))),1)*H56+20/100*MAX('⚙ Parámetros'!D15/(1+2^(-'⚙ Parámetros'!C15*(I56-'⚙ Parámetros'!B15))),'⚙ Parámetros'!G15/(1+2^(-'⚙ Parámetros'!F15*(I56-'⚙ Parámetros'!E15))),1)*I56)/(30/100*MAX('⚙ Parámetros'!D15/(1+2^(-'⚙ Parámetros'!C15*(F56-'⚙ Parámetros'!B15))),'⚙ Parámetros'!G15/(1+2^(-'⚙ Parámetros'!F15*(F56-'⚙ Parámetros'!E15))),1)+30/100*MAX('⚙ Parámetros'!D15/(1+2^(-'⚙ Parámetros'!C15*(G56-'⚙ Parámetros'!B15))),'⚙ Parámetros'!G15/(1+2^(-'⚙ Parámetros'!F15*(G56-'⚙ Parámetros'!E15))),1)+20/100*MAX('⚙ Parámetros'!D15/(1+2^(-'⚙ Parámetros'!C15*(H56-'⚙ Parámetros'!B15))),'⚙ Parámetros'!G15/(1+2^(-'⚙ Parámetros'!F15*(H56-'⚙ Parámetros'!E15))),1)+20/100*MAX('⚙ Parámetros'!D15/(1+2^(-'⚙ Parámetros'!C15*(I56-'⚙ Parámetros'!B15))),'⚙ Parámetros'!G15/(1+2^(-'⚙ Parámetros'!F15*(I56-'⚙ Parámetros'!E15))),1)),0)</f>
        <v>2.1428571428571428</v>
      </c>
      <c r="AC56" s="89">
        <f>IFERROR((35/100*MAX('⚙ Parámetros'!D16/(1+2^(-'⚙ Parámetros'!C16*(J56-'⚙ Parámetros'!B16))),'⚙ Parámetros'!G16/(1+2^(-'⚙ Parámetros'!F16*(J56-'⚙ Parámetros'!E16))),1)*J56+25/100*MAX('⚙ Parámetros'!D16/(1+2^(-'⚙ Parámetros'!C16*(K56-'⚙ Parámetros'!B16))),'⚙ Parámetros'!G16/(1+2^(-'⚙ Parámetros'!F16*(K56-'⚙ Parámetros'!E16))),1)*K56+20/100*MAX('⚙ Parámetros'!D16/(1+2^(-'⚙ Parámetros'!C16*(L56-'⚙ Parámetros'!B16))),'⚙ Parámetros'!G16/(1+2^(-'⚙ Parámetros'!F16*(L56-'⚙ Parámetros'!E16))),1)*L56+20/100*MAX('⚙ Parámetros'!D16/(1+2^(-'⚙ Parámetros'!C16*(M56-'⚙ Parámetros'!B16))),'⚙ Parámetros'!G16/(1+2^(-'⚙ Parámetros'!F16*(M56-'⚙ Parámetros'!E16))),1)*M56)/(35/100*MAX('⚙ Parámetros'!D16/(1+2^(-'⚙ Parámetros'!C16*(J56-'⚙ Parámetros'!B16))),'⚙ Parámetros'!G16/(1+2^(-'⚙ Parámetros'!F16*(J56-'⚙ Parámetros'!E16))),1)+25/100*MAX('⚙ Parámetros'!D16/(1+2^(-'⚙ Parámetros'!C16*(K56-'⚙ Parámetros'!B16))),'⚙ Parámetros'!G16/(1+2^(-'⚙ Parámetros'!F16*(K56-'⚙ Parámetros'!E16))),1)+20/100*MAX('⚙ Parámetros'!D16/(1+2^(-'⚙ Parámetros'!C16*(L56-'⚙ Parámetros'!B16))),'⚙ Parámetros'!G16/(1+2^(-'⚙ Parámetros'!F16*(L56-'⚙ Parámetros'!E16))),1)+20/100*MAX('⚙ Parámetros'!D16/(1+2^(-'⚙ Parámetros'!C16*(M56-'⚙ Parámetros'!B16))),'⚙ Parámetros'!G16/(1+2^(-'⚙ Parámetros'!F16*(M56-'⚙ Parámetros'!E16))),1)),0)</f>
        <v>1.4000000000000001</v>
      </c>
      <c r="AD56" s="89">
        <f>IFERROR((30/100*MAX('⚙ Parámetros'!D17/(1+2^(-'⚙ Parámetros'!C17*(N56-'⚙ Parámetros'!B17))),'⚙ Parámetros'!G17/(1+2^(-'⚙ Parámetros'!F17*(N56-'⚙ Parámetros'!E17))),1)*N56+25/100*MAX('⚙ Parámetros'!D17/(1+2^(-'⚙ Parámetros'!C17*(O56-'⚙ Parámetros'!B17))),'⚙ Parámetros'!G17/(1+2^(-'⚙ Parámetros'!F17*(O56-'⚙ Parámetros'!E17))),1)*O56+25/100*MAX('⚙ Parámetros'!D17/(1+2^(-'⚙ Parámetros'!C17*(P56-'⚙ Parámetros'!B17))),'⚙ Parámetros'!G17/(1+2^(-'⚙ Parámetros'!F17*(P56-'⚙ Parámetros'!E17))),1)*P56+20/100*MAX('⚙ Parámetros'!D17/(1+2^(-'⚙ Parámetros'!C17*(Q56-'⚙ Parámetros'!B17))),'⚙ Parámetros'!G17/(1+2^(-'⚙ Parámetros'!F17*(Q56-'⚙ Parámetros'!E17))),1)*Q56)/(30/100*MAX('⚙ Parámetros'!D17/(1+2^(-'⚙ Parámetros'!C17*(N56-'⚙ Parámetros'!B17))),'⚙ Parámetros'!G17/(1+2^(-'⚙ Parámetros'!F17*(N56-'⚙ Parámetros'!E17))),1)+25/100*MAX('⚙ Parámetros'!D17/(1+2^(-'⚙ Parámetros'!C17*(O56-'⚙ Parámetros'!B17))),'⚙ Parámetros'!G17/(1+2^(-'⚙ Parámetros'!F17*(O56-'⚙ Parámetros'!E17))),1)+25/100*MAX('⚙ Parámetros'!D17/(1+2^(-'⚙ Parámetros'!C17*(P56-'⚙ Parámetros'!B17))),'⚙ Parámetros'!G17/(1+2^(-'⚙ Parámetros'!F17*(P56-'⚙ Parámetros'!E17))),1)+20/100*MAX('⚙ Parámetros'!D17/(1+2^(-'⚙ Parámetros'!C17*(Q56-'⚙ Parámetros'!B17))),'⚙ Parámetros'!G17/(1+2^(-'⚙ Parámetros'!F17*(Q56-'⚙ Parámetros'!E17))),1)),0)</f>
        <v>6.0986342943854321</v>
      </c>
      <c r="AE56" s="89">
        <f>IFERROR((30/100*MAX('⚙ Parámetros'!D18/(1+2^(-'⚙ Parámetros'!C18*(R56-'⚙ Parámetros'!B18))),'⚙ Parámetros'!G18/(1+2^(-'⚙ Parámetros'!F18*(R56-'⚙ Parámetros'!E18))),1)*R56+30/100*MAX('⚙ Parámetros'!D18/(1+2^(-'⚙ Parámetros'!C18*(S56-'⚙ Parámetros'!B18))),'⚙ Parámetros'!G18/(1+2^(-'⚙ Parámetros'!F18*(S56-'⚙ Parámetros'!E18))),1)*S56+20/100*MAX('⚙ Parámetros'!D18/(1+2^(-'⚙ Parámetros'!C18*(T56-'⚙ Parámetros'!B18))),'⚙ Parámetros'!G18/(1+2^(-'⚙ Parámetros'!F18*(T56-'⚙ Parámetros'!E18))),1)*T56+20/100*MAX('⚙ Parámetros'!D18/(1+2^(-'⚙ Parámetros'!C18*(U56-'⚙ Parámetros'!B18))),'⚙ Parámetros'!G18/(1+2^(-'⚙ Parámetros'!F18*(U56-'⚙ Parámetros'!E18))),1)*U56)/(30/100*MAX('⚙ Parámetros'!D18/(1+2^(-'⚙ Parámetros'!C18*(R56-'⚙ Parámetros'!B18))),'⚙ Parámetros'!G18/(1+2^(-'⚙ Parámetros'!F18*(R56-'⚙ Parámetros'!E18))),1)+30/100*MAX('⚙ Parámetros'!D18/(1+2^(-'⚙ Parámetros'!C18*(S56-'⚙ Parámetros'!B18))),'⚙ Parámetros'!G18/(1+2^(-'⚙ Parámetros'!F18*(S56-'⚙ Parámetros'!E18))),1)+20/100*MAX('⚙ Parámetros'!D18/(1+2^(-'⚙ Parámetros'!C18*(T56-'⚙ Parámetros'!B18))),'⚙ Parámetros'!G18/(1+2^(-'⚙ Parámetros'!F18*(T56-'⚙ Parámetros'!E18))),1)+20/100*MAX('⚙ Parámetros'!D18/(1+2^(-'⚙ Parámetros'!C18*(U56-'⚙ Parámetros'!B18))),'⚙ Parámetros'!G18/(1+2^(-'⚙ Parámetros'!F18*(U56-'⚙ Parámetros'!E18))),1)),0)</f>
        <v>8.1801060365339655</v>
      </c>
      <c r="AF56" s="89">
        <f>IFERROR((30/100*MAX('⚙ Parámetros'!D19/(1+2^(-'⚙ Parámetros'!C19*(V56-'⚙ Parámetros'!B19))),'⚙ Parámetros'!G19/(1+2^(-'⚙ Parámetros'!F19*(V56-'⚙ Parámetros'!E19))),1)*V56+35/100*MAX('⚙ Parámetros'!D19/(1+2^(-'⚙ Parámetros'!C19*(W56-'⚙ Parámetros'!B19))),'⚙ Parámetros'!G19/(1+2^(-'⚙ Parámetros'!F19*(W56-'⚙ Parámetros'!E19))),1)*W56+35/100*MAX('⚙ Parámetros'!D19/(1+2^(-'⚙ Parámetros'!C19*(X56-'⚙ Parámetros'!B19))),'⚙ Parámetros'!G19/(1+2^(-'⚙ Parámetros'!F19*(X56-'⚙ Parámetros'!E19))),1)*X56)/(30/100*MAX('⚙ Parámetros'!D19/(1+2^(-'⚙ Parámetros'!C19*(V56-'⚙ Parámetros'!B19))),'⚙ Parámetros'!G19/(1+2^(-'⚙ Parámetros'!F19*(V56-'⚙ Parámetros'!E19))),1)+35/100*MAX('⚙ Parámetros'!D19/(1+2^(-'⚙ Parámetros'!C19*(W56-'⚙ Parámetros'!B19))),'⚙ Parámetros'!G19/(1+2^(-'⚙ Parámetros'!F19*(W56-'⚙ Parámetros'!E19))),1)+35/100*MAX('⚙ Parámetros'!D19/(1+2^(-'⚙ Parámetros'!C19*(X56-'⚙ Parámetros'!B19))),'⚙ Parámetros'!G19/(1+2^(-'⚙ Parámetros'!F19*(X56-'⚙ Parámetros'!E19))),1)),0)</f>
        <v>8.0351483057098907</v>
      </c>
      <c r="AG56" s="89">
        <f>IFERROR((35/100*MAX('⚙ Parámetros'!D20/(1+2^(-'⚙ Parámetros'!C20*(Y56-'⚙ Parámetros'!B20))),'⚙ Parámetros'!G20/(1+2^(-'⚙ Parámetros'!F20*(Y56-'⚙ Parámetros'!E20))),1)*Y56+35/100*MAX('⚙ Parámetros'!D20/(1+2^(-'⚙ Parámetros'!C20*(Z56-'⚙ Parámetros'!B20))),'⚙ Parámetros'!G20/(1+2^(-'⚙ Parámetros'!F20*(Z56-'⚙ Parámetros'!E20))),1)*Z56+30/100*MAX('⚙ Parámetros'!D20/(1+2^(-'⚙ Parámetros'!C20*(AA56-'⚙ Parámetros'!B20))),'⚙ Parámetros'!G20/(1+2^(-'⚙ Parámetros'!F20*(AA56-'⚙ Parámetros'!E20))),1)*AA56)/(35/100*MAX('⚙ Parámetros'!D20/(1+2^(-'⚙ Parámetros'!C20*(Y56-'⚙ Parámetros'!B20))),'⚙ Parámetros'!G20/(1+2^(-'⚙ Parámetros'!F20*(Y56-'⚙ Parámetros'!E20))),1)+35/100*MAX('⚙ Parámetros'!D20/(1+2^(-'⚙ Parámetros'!C20*(Z56-'⚙ Parámetros'!B20))),'⚙ Parámetros'!G20/(1+2^(-'⚙ Parámetros'!F20*(Z56-'⚙ Parámetros'!E20))),1)+30/100*MAX('⚙ Parámetros'!D20/(1+2^(-'⚙ Parámetros'!C20*(AA56-'⚙ Parámetros'!B20))),'⚙ Parámetros'!G20/(1+2^(-'⚙ Parámetros'!F20*(AA56-'⚙ Parámetros'!E20))),1)),0)</f>
        <v>5.8125</v>
      </c>
      <c r="AH56" s="90">
        <f>('⚙ Parámetros'!B5/100*AB56+'⚙ Parámetros'!B6/100*AC56+'⚙ Parámetros'!B7/100*AD56+'⚙ Parámetros'!B8/100*AE56+'⚙ Parámetros'!B9/100*AF56+'⚙ Parámetros'!B10/100*AG56)</f>
        <v>4.392711556689294</v>
      </c>
      <c r="AI56" s="91">
        <f ca="1">MIN(1+MAX(0,TODAY()-DATE(2026,2,18))/365*'⚙ Parámetros'!B33,'⚙ Parámetros'!B34)</f>
        <v>1.0468493150684932</v>
      </c>
      <c r="AJ56" s="82">
        <f t="shared" ca="1" si="2"/>
        <v>4.598507084413642</v>
      </c>
      <c r="AK56" s="92" t="str">
        <f ca="1">IF(AB56&gt;='⚙ Parámetros'!B23,"⚑ AUTO-PRIOR.(D1≥8)",IF(AJ56&gt;='⚙ Parámetros'!B23,"PRIORITARIO",IF(AJ56&gt;='⚙ Parámetros'!B24,"ALTA PRIORIDAD",IF(AJ56&gt;='⚙ Parámetros'!B25,"PRIORIDAD MEDIA",IF(AJ56&gt;='⚙ Parámetros'!B26,"BAJA PRIORIDAD","DESCARTAR")))))</f>
        <v>BAJA PRIORIDAD</v>
      </c>
      <c r="AL56" s="69" t="str">
        <f t="shared" si="3"/>
        <v>—</v>
      </c>
      <c r="AM56" s="85">
        <v>11</v>
      </c>
      <c r="AN56" s="83" t="str">
        <f>IF(AM56="","—",IF(AM56&lt;'⚙ Parámetros'!B29,"🟢 Corto",IF(AM56&lt;'⚙ Parámetros'!B30,"🟡 Medio","🔴 Largo")))</f>
        <v>🟢 Corto</v>
      </c>
    </row>
    <row r="57" spans="1:40" ht="18.75" customHeight="1" x14ac:dyDescent="0.25">
      <c r="A57" s="69">
        <v>53</v>
      </c>
      <c r="B57" s="70" t="s">
        <v>242</v>
      </c>
      <c r="C57" s="4" t="s">
        <v>135</v>
      </c>
      <c r="D57" s="71" t="s">
        <v>243</v>
      </c>
      <c r="E57" s="72" t="s">
        <v>244</v>
      </c>
      <c r="F57" s="73">
        <v>6</v>
      </c>
      <c r="G57" s="73">
        <v>5</v>
      </c>
      <c r="H57" s="74">
        <v>1</v>
      </c>
      <c r="I57" s="73">
        <v>5</v>
      </c>
      <c r="J57" s="74">
        <v>1</v>
      </c>
      <c r="K57" s="74">
        <v>1</v>
      </c>
      <c r="L57" s="74">
        <v>1</v>
      </c>
      <c r="M57" s="73">
        <v>3</v>
      </c>
      <c r="N57" s="73">
        <v>7</v>
      </c>
      <c r="O57" s="74">
        <v>1</v>
      </c>
      <c r="P57" s="74">
        <v>1</v>
      </c>
      <c r="Q57" s="87">
        <v>8</v>
      </c>
      <c r="R57" s="73">
        <v>5</v>
      </c>
      <c r="S57" s="73">
        <v>5</v>
      </c>
      <c r="T57" s="73">
        <v>5</v>
      </c>
      <c r="U57" s="73">
        <v>5</v>
      </c>
      <c r="V57" s="73">
        <v>5</v>
      </c>
      <c r="W57" s="73">
        <v>6</v>
      </c>
      <c r="X57" s="73">
        <v>6</v>
      </c>
      <c r="Y57" s="73">
        <v>4</v>
      </c>
      <c r="Z57" s="74">
        <v>2</v>
      </c>
      <c r="AA57" s="73">
        <v>5</v>
      </c>
      <c r="AB57" s="80">
        <f>IFERROR((30/100*MAX('⚙ Parámetros'!D15/(1+2^(-'⚙ Parámetros'!C15*(F57-'⚙ Parámetros'!B15))),'⚙ Parámetros'!G15/(1+2^(-'⚙ Parámetros'!F15*(F57-'⚙ Parámetros'!E15))),1)*F57+30/100*MAX('⚙ Parámetros'!D15/(1+2^(-'⚙ Parámetros'!C15*(G57-'⚙ Parámetros'!B15))),'⚙ Parámetros'!G15/(1+2^(-'⚙ Parámetros'!F15*(G57-'⚙ Parámetros'!E15))),1)*G57+20/100*MAX('⚙ Parámetros'!D15/(1+2^(-'⚙ Parámetros'!C15*(H57-'⚙ Parámetros'!B15))),'⚙ Parámetros'!G15/(1+2^(-'⚙ Parámetros'!F15*(H57-'⚙ Parámetros'!E15))),1)*H57+20/100*MAX('⚙ Parámetros'!D15/(1+2^(-'⚙ Parámetros'!C15*(I57-'⚙ Parámetros'!B15))),'⚙ Parámetros'!G15/(1+2^(-'⚙ Parámetros'!F15*(I57-'⚙ Parámetros'!E15))),1)*I57)/(30/100*MAX('⚙ Parámetros'!D15/(1+2^(-'⚙ Parámetros'!C15*(F57-'⚙ Parámetros'!B15))),'⚙ Parámetros'!G15/(1+2^(-'⚙ Parámetros'!F15*(F57-'⚙ Parámetros'!E15))),1)+30/100*MAX('⚙ Parámetros'!D15/(1+2^(-'⚙ Parámetros'!C15*(G57-'⚙ Parámetros'!B15))),'⚙ Parámetros'!G15/(1+2^(-'⚙ Parámetros'!F15*(G57-'⚙ Parámetros'!E15))),1)+20/100*MAX('⚙ Parámetros'!D15/(1+2^(-'⚙ Parámetros'!C15*(H57-'⚙ Parámetros'!B15))),'⚙ Parámetros'!G15/(1+2^(-'⚙ Parámetros'!F15*(H57-'⚙ Parámetros'!E15))),1)+20/100*MAX('⚙ Parámetros'!D15/(1+2^(-'⚙ Parámetros'!C15*(I57-'⚙ Parámetros'!B15))),'⚙ Parámetros'!G15/(1+2^(-'⚙ Parámetros'!F15*(I57-'⚙ Parámetros'!E15))),1)),0)</f>
        <v>4.8311688311688314</v>
      </c>
      <c r="AC57" s="80">
        <f>IFERROR((35/100*MAX('⚙ Parámetros'!D16/(1+2^(-'⚙ Parámetros'!C16*(J57-'⚙ Parámetros'!B16))),'⚙ Parámetros'!G16/(1+2^(-'⚙ Parámetros'!F16*(J57-'⚙ Parámetros'!E16))),1)*J57+25/100*MAX('⚙ Parámetros'!D16/(1+2^(-'⚙ Parámetros'!C16*(K57-'⚙ Parámetros'!B16))),'⚙ Parámetros'!G16/(1+2^(-'⚙ Parámetros'!F16*(K57-'⚙ Parámetros'!E16))),1)*K57+20/100*MAX('⚙ Parámetros'!D16/(1+2^(-'⚙ Parámetros'!C16*(L57-'⚙ Parámetros'!B16))),'⚙ Parámetros'!G16/(1+2^(-'⚙ Parámetros'!F16*(L57-'⚙ Parámetros'!E16))),1)*L57+20/100*MAX('⚙ Parámetros'!D16/(1+2^(-'⚙ Parámetros'!C16*(M57-'⚙ Parámetros'!B16))),'⚙ Parámetros'!G16/(1+2^(-'⚙ Parámetros'!F16*(M57-'⚙ Parámetros'!E16))),1)*M57)/(35/100*MAX('⚙ Parámetros'!D16/(1+2^(-'⚙ Parámetros'!C16*(J57-'⚙ Parámetros'!B16))),'⚙ Parámetros'!G16/(1+2^(-'⚙ Parámetros'!F16*(J57-'⚙ Parámetros'!E16))),1)+25/100*MAX('⚙ Parámetros'!D16/(1+2^(-'⚙ Parámetros'!C16*(K57-'⚙ Parámetros'!B16))),'⚙ Parámetros'!G16/(1+2^(-'⚙ Parámetros'!F16*(K57-'⚙ Parámetros'!E16))),1)+20/100*MAX('⚙ Parámetros'!D16/(1+2^(-'⚙ Parámetros'!C16*(L57-'⚙ Parámetros'!B16))),'⚙ Parámetros'!G16/(1+2^(-'⚙ Parámetros'!F16*(L57-'⚙ Parámetros'!E16))),1)+20/100*MAX('⚙ Parámetros'!D16/(1+2^(-'⚙ Parámetros'!C16*(M57-'⚙ Parámetros'!B16))),'⚙ Parámetros'!G16/(1+2^(-'⚙ Parámetros'!F16*(M57-'⚙ Parámetros'!E16))),1)),0)</f>
        <v>1.4000000000000001</v>
      </c>
      <c r="AD57" s="80">
        <f>IFERROR((30/100*MAX('⚙ Parámetros'!D17/(1+2^(-'⚙ Parámetros'!C17*(N57-'⚙ Parámetros'!B17))),'⚙ Parámetros'!G17/(1+2^(-'⚙ Parámetros'!F17*(N57-'⚙ Parámetros'!E17))),1)*N57+25/100*MAX('⚙ Parámetros'!D17/(1+2^(-'⚙ Parámetros'!C17*(O57-'⚙ Parámetros'!B17))),'⚙ Parámetros'!G17/(1+2^(-'⚙ Parámetros'!F17*(O57-'⚙ Parámetros'!E17))),1)*O57+25/100*MAX('⚙ Parámetros'!D17/(1+2^(-'⚙ Parámetros'!C17*(P57-'⚙ Parámetros'!B17))),'⚙ Parámetros'!G17/(1+2^(-'⚙ Parámetros'!F17*(P57-'⚙ Parámetros'!E17))),1)*P57+20/100*MAX('⚙ Parámetros'!D17/(1+2^(-'⚙ Parámetros'!C17*(Q57-'⚙ Parámetros'!B17))),'⚙ Parámetros'!G17/(1+2^(-'⚙ Parámetros'!F17*(Q57-'⚙ Parámetros'!E17))),1)*Q57)/(30/100*MAX('⚙ Parámetros'!D17/(1+2^(-'⚙ Parámetros'!C17*(N57-'⚙ Parámetros'!B17))),'⚙ Parámetros'!G17/(1+2^(-'⚙ Parámetros'!F17*(N57-'⚙ Parámetros'!E17))),1)+25/100*MAX('⚙ Parámetros'!D17/(1+2^(-'⚙ Parámetros'!C17*(O57-'⚙ Parámetros'!B17))),'⚙ Parámetros'!G17/(1+2^(-'⚙ Parámetros'!F17*(O57-'⚙ Parámetros'!E17))),1)+25/100*MAX('⚙ Parámetros'!D17/(1+2^(-'⚙ Parámetros'!C17*(P57-'⚙ Parámetros'!B17))),'⚙ Parámetros'!G17/(1+2^(-'⚙ Parámetros'!F17*(P57-'⚙ Parámetros'!E17))),1)+20/100*MAX('⚙ Parámetros'!D17/(1+2^(-'⚙ Parámetros'!C17*(Q57-'⚙ Parámetros'!B17))),'⚙ Parámetros'!G17/(1+2^(-'⚙ Parámetros'!F17*(Q57-'⚙ Parámetros'!E17))),1)),0)</f>
        <v>5.9523809523809534</v>
      </c>
      <c r="AE57" s="80">
        <f>IFERROR((30/100*MAX('⚙ Parámetros'!D18/(1+2^(-'⚙ Parámetros'!C18*(R57-'⚙ Parámetros'!B18))),'⚙ Parámetros'!G18/(1+2^(-'⚙ Parámetros'!F18*(R57-'⚙ Parámetros'!E18))),1)*R57+30/100*MAX('⚙ Parámetros'!D18/(1+2^(-'⚙ Parámetros'!C18*(S57-'⚙ Parámetros'!B18))),'⚙ Parámetros'!G18/(1+2^(-'⚙ Parámetros'!F18*(S57-'⚙ Parámetros'!E18))),1)*S57+20/100*MAX('⚙ Parámetros'!D18/(1+2^(-'⚙ Parámetros'!C18*(T57-'⚙ Parámetros'!B18))),'⚙ Parámetros'!G18/(1+2^(-'⚙ Parámetros'!F18*(T57-'⚙ Parámetros'!E18))),1)*T57+20/100*MAX('⚙ Parámetros'!D18/(1+2^(-'⚙ Parámetros'!C18*(U57-'⚙ Parámetros'!B18))),'⚙ Parámetros'!G18/(1+2^(-'⚙ Parámetros'!F18*(U57-'⚙ Parámetros'!E18))),1)*U57)/(30/100*MAX('⚙ Parámetros'!D18/(1+2^(-'⚙ Parámetros'!C18*(R57-'⚙ Parámetros'!B18))),'⚙ Parámetros'!G18/(1+2^(-'⚙ Parámetros'!F18*(R57-'⚙ Parámetros'!E18))),1)+30/100*MAX('⚙ Parámetros'!D18/(1+2^(-'⚙ Parámetros'!C18*(S57-'⚙ Parámetros'!B18))),'⚙ Parámetros'!G18/(1+2^(-'⚙ Parámetros'!F18*(S57-'⚙ Parámetros'!E18))),1)+20/100*MAX('⚙ Parámetros'!D18/(1+2^(-'⚙ Parámetros'!C18*(T57-'⚙ Parámetros'!B18))),'⚙ Parámetros'!G18/(1+2^(-'⚙ Parámetros'!F18*(T57-'⚙ Parámetros'!E18))),1)+20/100*MAX('⚙ Parámetros'!D18/(1+2^(-'⚙ Parámetros'!C18*(U57-'⚙ Parámetros'!B18))),'⚙ Parámetros'!G18/(1+2^(-'⚙ Parámetros'!F18*(U57-'⚙ Parámetros'!E18))),1)),0)</f>
        <v>5</v>
      </c>
      <c r="AF57" s="80">
        <f>IFERROR((30/100*MAX('⚙ Parámetros'!D19/(1+2^(-'⚙ Parámetros'!C19*(V57-'⚙ Parámetros'!B19))),'⚙ Parámetros'!G19/(1+2^(-'⚙ Parámetros'!F19*(V57-'⚙ Parámetros'!E19))),1)*V57+35/100*MAX('⚙ Parámetros'!D19/(1+2^(-'⚙ Parámetros'!C19*(W57-'⚙ Parámetros'!B19))),'⚙ Parámetros'!G19/(1+2^(-'⚙ Parámetros'!F19*(W57-'⚙ Parámetros'!E19))),1)*W57+35/100*MAX('⚙ Parámetros'!D19/(1+2^(-'⚙ Parámetros'!C19*(X57-'⚙ Parámetros'!B19))),'⚙ Parámetros'!G19/(1+2^(-'⚙ Parámetros'!F19*(X57-'⚙ Parámetros'!E19))),1)*X57)/(30/100*MAX('⚙ Parámetros'!D19/(1+2^(-'⚙ Parámetros'!C19*(V57-'⚙ Parámetros'!B19))),'⚙ Parámetros'!G19/(1+2^(-'⚙ Parámetros'!F19*(V57-'⚙ Parámetros'!E19))),1)+35/100*MAX('⚙ Parámetros'!D19/(1+2^(-'⚙ Parámetros'!C19*(W57-'⚙ Parámetros'!B19))),'⚙ Parámetros'!G19/(1+2^(-'⚙ Parámetros'!F19*(W57-'⚙ Parámetros'!E19))),1)+35/100*MAX('⚙ Parámetros'!D19/(1+2^(-'⚙ Parámetros'!C19*(X57-'⚙ Parámetros'!B19))),'⚙ Parámetros'!G19/(1+2^(-'⚙ Parámetros'!F19*(X57-'⚙ Parámetros'!E19))),1)),0)</f>
        <v>5.7368421052631575</v>
      </c>
      <c r="AG57" s="80">
        <f>IFERROR((35/100*MAX('⚙ Parámetros'!D20/(1+2^(-'⚙ Parámetros'!C20*(Y57-'⚙ Parámetros'!B20))),'⚙ Parámetros'!G20/(1+2^(-'⚙ Parámetros'!F20*(Y57-'⚙ Parámetros'!E20))),1)*Y57+35/100*MAX('⚙ Parámetros'!D20/(1+2^(-'⚙ Parámetros'!C20*(Z57-'⚙ Parámetros'!B20))),'⚙ Parámetros'!G20/(1+2^(-'⚙ Parámetros'!F20*(Z57-'⚙ Parámetros'!E20))),1)*Z57+30/100*MAX('⚙ Parámetros'!D20/(1+2^(-'⚙ Parámetros'!C20*(AA57-'⚙ Parámetros'!B20))),'⚙ Parámetros'!G20/(1+2^(-'⚙ Parámetros'!F20*(AA57-'⚙ Parámetros'!E20))),1)*AA57)/(35/100*MAX('⚙ Parámetros'!D20/(1+2^(-'⚙ Parámetros'!C20*(Y57-'⚙ Parámetros'!B20))),'⚙ Parámetros'!G20/(1+2^(-'⚙ Parámetros'!F20*(Y57-'⚙ Parámetros'!E20))),1)+35/100*MAX('⚙ Parámetros'!D20/(1+2^(-'⚙ Parámetros'!C20*(Z57-'⚙ Parámetros'!B20))),'⚙ Parámetros'!G20/(1+2^(-'⚙ Parámetros'!F20*(Z57-'⚙ Parámetros'!E20))),1)+30/100*MAX('⚙ Parámetros'!D20/(1+2^(-'⚙ Parámetros'!C20*(AA57-'⚙ Parámetros'!B20))),'⚙ Parámetros'!G20/(1+2^(-'⚙ Parámetros'!F20*(AA57-'⚙ Parámetros'!E20))),1)),0)</f>
        <v>3.7272727272727275</v>
      </c>
      <c r="AH57" s="81">
        <f>('⚙ Parámetros'!B5/100*AB57+'⚙ Parámetros'!B6/100*AC57+'⚙ Parámetros'!B7/100*AD57+'⚙ Parámetros'!B8/100*AE57+'⚙ Parámetros'!B9/100*AF57+'⚙ Parámetros'!B10/100*AG57)</f>
        <v>4.3916928685349736</v>
      </c>
      <c r="AI57" s="33">
        <f ca="1">MIN(1+MAX(0,TODAY()-DATE(2025,8,27))/365*'⚙ Parámetros'!B33,'⚙ Parámetros'!B34)</f>
        <v>1.1187671232876713</v>
      </c>
      <c r="AJ57" s="82">
        <f t="shared" ca="1" si="2"/>
        <v>4.9132815968938539</v>
      </c>
      <c r="AK57" s="83" t="str">
        <f ca="1">IF(AB57&gt;='⚙ Parámetros'!B23,"⚑ AUTO-PRIOR.(D1≥8)",IF(AJ57&gt;='⚙ Parámetros'!B23,"PRIORITARIO",IF(AJ57&gt;='⚙ Parámetros'!B24,"ALTA PRIORIDAD",IF(AJ57&gt;='⚙ Parámetros'!B25,"PRIORIDAD MEDIA",IF(AJ57&gt;='⚙ Parámetros'!B26,"BAJA PRIORIDAD","DESCARTAR")))))</f>
        <v>BAJA PRIORIDAD</v>
      </c>
      <c r="AL57" s="84" t="str">
        <f t="shared" si="3"/>
        <v>—</v>
      </c>
      <c r="AM57" s="85">
        <v>43</v>
      </c>
      <c r="AN57" s="83" t="str">
        <f>IF(AM57="","—",IF(AM57&lt;'⚙ Parámetros'!B29,"🟢 Corto",IF(AM57&lt;'⚙ Parámetros'!B30,"🟡 Medio","🔴 Largo")))</f>
        <v>🟡 Medio</v>
      </c>
    </row>
    <row r="58" spans="1:40" ht="18.75" customHeight="1" x14ac:dyDescent="0.25">
      <c r="A58" s="69">
        <v>54</v>
      </c>
      <c r="B58" s="30" t="s">
        <v>245</v>
      </c>
      <c r="C58" s="26" t="s">
        <v>142</v>
      </c>
      <c r="D58" s="71" t="s">
        <v>136</v>
      </c>
      <c r="E58" s="72" t="s">
        <v>246</v>
      </c>
      <c r="F58" s="86">
        <v>6</v>
      </c>
      <c r="G58" s="86">
        <v>7</v>
      </c>
      <c r="H58" s="74">
        <v>1</v>
      </c>
      <c r="I58" s="74">
        <v>1</v>
      </c>
      <c r="J58" s="74">
        <v>1</v>
      </c>
      <c r="K58" s="74">
        <v>1</v>
      </c>
      <c r="L58" s="74">
        <v>1</v>
      </c>
      <c r="M58" s="86">
        <v>3</v>
      </c>
      <c r="N58" s="74">
        <v>1</v>
      </c>
      <c r="O58" s="74">
        <v>1</v>
      </c>
      <c r="P58" s="74">
        <v>1</v>
      </c>
      <c r="Q58" s="87">
        <v>8</v>
      </c>
      <c r="R58" s="86">
        <v>5</v>
      </c>
      <c r="S58" s="86">
        <v>5</v>
      </c>
      <c r="T58" s="86">
        <v>5</v>
      </c>
      <c r="U58" s="86">
        <v>5</v>
      </c>
      <c r="V58" s="86">
        <v>5</v>
      </c>
      <c r="W58" s="86">
        <v>6</v>
      </c>
      <c r="X58" s="86">
        <v>6</v>
      </c>
      <c r="Y58" s="86">
        <v>4</v>
      </c>
      <c r="Z58" s="74">
        <v>2</v>
      </c>
      <c r="AA58" s="86">
        <v>5</v>
      </c>
      <c r="AB58" s="89">
        <f>IFERROR((30/100*MAX('⚙ Parámetros'!D15/(1+2^(-'⚙ Parámetros'!C15*(F58-'⚙ Parámetros'!B15))),'⚙ Parámetros'!G15/(1+2^(-'⚙ Parámetros'!F15*(F58-'⚙ Parámetros'!E15))),1)*F58+30/100*MAX('⚙ Parámetros'!D15/(1+2^(-'⚙ Parámetros'!C15*(G58-'⚙ Parámetros'!B15))),'⚙ Parámetros'!G15/(1+2^(-'⚙ Parámetros'!F15*(G58-'⚙ Parámetros'!E15))),1)*G58+20/100*MAX('⚙ Parámetros'!D15/(1+2^(-'⚙ Parámetros'!C15*(H58-'⚙ Parámetros'!B15))),'⚙ Parámetros'!G15/(1+2^(-'⚙ Parámetros'!F15*(H58-'⚙ Parámetros'!E15))),1)*H58+20/100*MAX('⚙ Parámetros'!D15/(1+2^(-'⚙ Parámetros'!C15*(I58-'⚙ Parámetros'!B15))),'⚙ Parámetros'!G15/(1+2^(-'⚙ Parámetros'!F15*(I58-'⚙ Parámetros'!E15))),1)*I58)/(30/100*MAX('⚙ Parámetros'!D15/(1+2^(-'⚙ Parámetros'!C15*(F58-'⚙ Parámetros'!B15))),'⚙ Parámetros'!G15/(1+2^(-'⚙ Parámetros'!F15*(F58-'⚙ Parámetros'!E15))),1)+30/100*MAX('⚙ Parámetros'!D15/(1+2^(-'⚙ Parámetros'!C15*(G58-'⚙ Parámetros'!B15))),'⚙ Parámetros'!G15/(1+2^(-'⚙ Parámetros'!F15*(G58-'⚙ Parámetros'!E15))),1)+20/100*MAX('⚙ Parámetros'!D15/(1+2^(-'⚙ Parámetros'!C15*(H58-'⚙ Parámetros'!B15))),'⚙ Parámetros'!G15/(1+2^(-'⚙ Parámetros'!F15*(H58-'⚙ Parámetros'!E15))),1)+20/100*MAX('⚙ Parámetros'!D15/(1+2^(-'⚙ Parámetros'!C15*(I58-'⚙ Parámetros'!B15))),'⚙ Parámetros'!G15/(1+2^(-'⚙ Parámetros'!F15*(I58-'⚙ Parámetros'!E15))),1)),0)</f>
        <v>5.7161572052401741</v>
      </c>
      <c r="AC58" s="89">
        <f>IFERROR((35/100*MAX('⚙ Parámetros'!D16/(1+2^(-'⚙ Parámetros'!C16*(J58-'⚙ Parámetros'!B16))),'⚙ Parámetros'!G16/(1+2^(-'⚙ Parámetros'!F16*(J58-'⚙ Parámetros'!E16))),1)*J58+25/100*MAX('⚙ Parámetros'!D16/(1+2^(-'⚙ Parámetros'!C16*(K58-'⚙ Parámetros'!B16))),'⚙ Parámetros'!G16/(1+2^(-'⚙ Parámetros'!F16*(K58-'⚙ Parámetros'!E16))),1)*K58+20/100*MAX('⚙ Parámetros'!D16/(1+2^(-'⚙ Parámetros'!C16*(L58-'⚙ Parámetros'!B16))),'⚙ Parámetros'!G16/(1+2^(-'⚙ Parámetros'!F16*(L58-'⚙ Parámetros'!E16))),1)*L58+20/100*MAX('⚙ Parámetros'!D16/(1+2^(-'⚙ Parámetros'!C16*(M58-'⚙ Parámetros'!B16))),'⚙ Parámetros'!G16/(1+2^(-'⚙ Parámetros'!F16*(M58-'⚙ Parámetros'!E16))),1)*M58)/(35/100*MAX('⚙ Parámetros'!D16/(1+2^(-'⚙ Parámetros'!C16*(J58-'⚙ Parámetros'!B16))),'⚙ Parámetros'!G16/(1+2^(-'⚙ Parámetros'!F16*(J58-'⚙ Parámetros'!E16))),1)+25/100*MAX('⚙ Parámetros'!D16/(1+2^(-'⚙ Parámetros'!C16*(K58-'⚙ Parámetros'!B16))),'⚙ Parámetros'!G16/(1+2^(-'⚙ Parámetros'!F16*(K58-'⚙ Parámetros'!E16))),1)+20/100*MAX('⚙ Parámetros'!D16/(1+2^(-'⚙ Parámetros'!C16*(L58-'⚙ Parámetros'!B16))),'⚙ Parámetros'!G16/(1+2^(-'⚙ Parámetros'!F16*(L58-'⚙ Parámetros'!E16))),1)+20/100*MAX('⚙ Parámetros'!D16/(1+2^(-'⚙ Parámetros'!C16*(M58-'⚙ Parámetros'!B16))),'⚙ Parámetros'!G16/(1+2^(-'⚙ Parámetros'!F16*(M58-'⚙ Parámetros'!E16))),1)),0)</f>
        <v>1.4000000000000001</v>
      </c>
      <c r="AD58" s="89">
        <f>IFERROR((30/100*MAX('⚙ Parámetros'!D17/(1+2^(-'⚙ Parámetros'!C17*(N58-'⚙ Parámetros'!B17))),'⚙ Parámetros'!G17/(1+2^(-'⚙ Parámetros'!F17*(N58-'⚙ Parámetros'!E17))),1)*N58+25/100*MAX('⚙ Parámetros'!D17/(1+2^(-'⚙ Parámetros'!C17*(O58-'⚙ Parámetros'!B17))),'⚙ Parámetros'!G17/(1+2^(-'⚙ Parámetros'!F17*(O58-'⚙ Parámetros'!E17))),1)*O58+25/100*MAX('⚙ Parámetros'!D17/(1+2^(-'⚙ Parámetros'!C17*(P58-'⚙ Parámetros'!B17))),'⚙ Parámetros'!G17/(1+2^(-'⚙ Parámetros'!F17*(P58-'⚙ Parámetros'!E17))),1)*P58+20/100*MAX('⚙ Parámetros'!D17/(1+2^(-'⚙ Parámetros'!C17*(Q58-'⚙ Parámetros'!B17))),'⚙ Parámetros'!G17/(1+2^(-'⚙ Parámetros'!F17*(Q58-'⚙ Parámetros'!E17))),1)*Q58)/(30/100*MAX('⚙ Parámetros'!D17/(1+2^(-'⚙ Parámetros'!C17*(N58-'⚙ Parámetros'!B17))),'⚙ Parámetros'!G17/(1+2^(-'⚙ Parámetros'!F17*(N58-'⚙ Parámetros'!E17))),1)+25/100*MAX('⚙ Parámetros'!D17/(1+2^(-'⚙ Parámetros'!C17*(O58-'⚙ Parámetros'!B17))),'⚙ Parámetros'!G17/(1+2^(-'⚙ Parámetros'!F17*(O58-'⚙ Parámetros'!E17))),1)+25/100*MAX('⚙ Parámetros'!D17/(1+2^(-'⚙ Parámetros'!C17*(P58-'⚙ Parámetros'!B17))),'⚙ Parámetros'!G17/(1+2^(-'⚙ Parámetros'!F17*(P58-'⚙ Parámetros'!E17))),1)+20/100*MAX('⚙ Parámetros'!D17/(1+2^(-'⚙ Parámetros'!C17*(Q58-'⚙ Parámetros'!B17))),'⚙ Parámetros'!G17/(1+2^(-'⚙ Parámetros'!F17*(Q58-'⚙ Parámetros'!E17))),1)),0)</f>
        <v>4.5</v>
      </c>
      <c r="AE58" s="89">
        <f>IFERROR((30/100*MAX('⚙ Parámetros'!D18/(1+2^(-'⚙ Parámetros'!C18*(R58-'⚙ Parámetros'!B18))),'⚙ Parámetros'!G18/(1+2^(-'⚙ Parámetros'!F18*(R58-'⚙ Parámetros'!E18))),1)*R58+30/100*MAX('⚙ Parámetros'!D18/(1+2^(-'⚙ Parámetros'!C18*(S58-'⚙ Parámetros'!B18))),'⚙ Parámetros'!G18/(1+2^(-'⚙ Parámetros'!F18*(S58-'⚙ Parámetros'!E18))),1)*S58+20/100*MAX('⚙ Parámetros'!D18/(1+2^(-'⚙ Parámetros'!C18*(T58-'⚙ Parámetros'!B18))),'⚙ Parámetros'!G18/(1+2^(-'⚙ Parámetros'!F18*(T58-'⚙ Parámetros'!E18))),1)*T58+20/100*MAX('⚙ Parámetros'!D18/(1+2^(-'⚙ Parámetros'!C18*(U58-'⚙ Parámetros'!B18))),'⚙ Parámetros'!G18/(1+2^(-'⚙ Parámetros'!F18*(U58-'⚙ Parámetros'!E18))),1)*U58)/(30/100*MAX('⚙ Parámetros'!D18/(1+2^(-'⚙ Parámetros'!C18*(R58-'⚙ Parámetros'!B18))),'⚙ Parámetros'!G18/(1+2^(-'⚙ Parámetros'!F18*(R58-'⚙ Parámetros'!E18))),1)+30/100*MAX('⚙ Parámetros'!D18/(1+2^(-'⚙ Parámetros'!C18*(S58-'⚙ Parámetros'!B18))),'⚙ Parámetros'!G18/(1+2^(-'⚙ Parámetros'!F18*(S58-'⚙ Parámetros'!E18))),1)+20/100*MAX('⚙ Parámetros'!D18/(1+2^(-'⚙ Parámetros'!C18*(T58-'⚙ Parámetros'!B18))),'⚙ Parámetros'!G18/(1+2^(-'⚙ Parámetros'!F18*(T58-'⚙ Parámetros'!E18))),1)+20/100*MAX('⚙ Parámetros'!D18/(1+2^(-'⚙ Parámetros'!C18*(U58-'⚙ Parámetros'!B18))),'⚙ Parámetros'!G18/(1+2^(-'⚙ Parámetros'!F18*(U58-'⚙ Parámetros'!E18))),1)),0)</f>
        <v>5</v>
      </c>
      <c r="AF58" s="89">
        <f>IFERROR((30/100*MAX('⚙ Parámetros'!D19/(1+2^(-'⚙ Parámetros'!C19*(V58-'⚙ Parámetros'!B19))),'⚙ Parámetros'!G19/(1+2^(-'⚙ Parámetros'!F19*(V58-'⚙ Parámetros'!E19))),1)*V58+35/100*MAX('⚙ Parámetros'!D19/(1+2^(-'⚙ Parámetros'!C19*(W58-'⚙ Parámetros'!B19))),'⚙ Parámetros'!G19/(1+2^(-'⚙ Parámetros'!F19*(W58-'⚙ Parámetros'!E19))),1)*W58+35/100*MAX('⚙ Parámetros'!D19/(1+2^(-'⚙ Parámetros'!C19*(X58-'⚙ Parámetros'!B19))),'⚙ Parámetros'!G19/(1+2^(-'⚙ Parámetros'!F19*(X58-'⚙ Parámetros'!E19))),1)*X58)/(30/100*MAX('⚙ Parámetros'!D19/(1+2^(-'⚙ Parámetros'!C19*(V58-'⚙ Parámetros'!B19))),'⚙ Parámetros'!G19/(1+2^(-'⚙ Parámetros'!F19*(V58-'⚙ Parámetros'!E19))),1)+35/100*MAX('⚙ Parámetros'!D19/(1+2^(-'⚙ Parámetros'!C19*(W58-'⚙ Parámetros'!B19))),'⚙ Parámetros'!G19/(1+2^(-'⚙ Parámetros'!F19*(W58-'⚙ Parámetros'!E19))),1)+35/100*MAX('⚙ Parámetros'!D19/(1+2^(-'⚙ Parámetros'!C19*(X58-'⚙ Parámetros'!B19))),'⚙ Parámetros'!G19/(1+2^(-'⚙ Parámetros'!F19*(X58-'⚙ Parámetros'!E19))),1)),0)</f>
        <v>5.7368421052631575</v>
      </c>
      <c r="AG58" s="89">
        <f>IFERROR((35/100*MAX('⚙ Parámetros'!D20/(1+2^(-'⚙ Parámetros'!C20*(Y58-'⚙ Parámetros'!B20))),'⚙ Parámetros'!G20/(1+2^(-'⚙ Parámetros'!F20*(Y58-'⚙ Parámetros'!E20))),1)*Y58+35/100*MAX('⚙ Parámetros'!D20/(1+2^(-'⚙ Parámetros'!C20*(Z58-'⚙ Parámetros'!B20))),'⚙ Parámetros'!G20/(1+2^(-'⚙ Parámetros'!F20*(Z58-'⚙ Parámetros'!E20))),1)*Z58+30/100*MAX('⚙ Parámetros'!D20/(1+2^(-'⚙ Parámetros'!C20*(AA58-'⚙ Parámetros'!B20))),'⚙ Parámetros'!G20/(1+2^(-'⚙ Parámetros'!F20*(AA58-'⚙ Parámetros'!E20))),1)*AA58)/(35/100*MAX('⚙ Parámetros'!D20/(1+2^(-'⚙ Parámetros'!C20*(Y58-'⚙ Parámetros'!B20))),'⚙ Parámetros'!G20/(1+2^(-'⚙ Parámetros'!F20*(Y58-'⚙ Parámetros'!E20))),1)+35/100*MAX('⚙ Parámetros'!D20/(1+2^(-'⚙ Parámetros'!C20*(Z58-'⚙ Parámetros'!B20))),'⚙ Parámetros'!G20/(1+2^(-'⚙ Parámetros'!F20*(Z58-'⚙ Parámetros'!E20))),1)+30/100*MAX('⚙ Parámetros'!D20/(1+2^(-'⚙ Parámetros'!C20*(AA58-'⚙ Parámetros'!B20))),'⚙ Parámetros'!G20/(1+2^(-'⚙ Parámetros'!F20*(AA58-'⚙ Parámetros'!E20))),1)),0)</f>
        <v>3.7272727272727275</v>
      </c>
      <c r="AH58" s="90">
        <f>('⚙ Parámetros'!B5/100*AB58+'⚙ Parámetros'!B6/100*AC58+'⚙ Parámetros'!B7/100*AD58+'⚙ Parámetros'!B8/100*AE58+'⚙ Parámetros'!B9/100*AF58+'⚙ Parámetros'!B10/100*AG58)</f>
        <v>4.3667131902801861</v>
      </c>
      <c r="AI58" s="91">
        <f ca="1">MIN(1+MAX(0,TODAY()-DATE(2025,4,4))/365*'⚙ Parámetros'!B33,'⚙ Parámetros'!B34)</f>
        <v>1.1783561643835616</v>
      </c>
      <c r="AJ58" s="82">
        <f t="shared" ca="1" si="2"/>
        <v>5.145543405861666</v>
      </c>
      <c r="AK58" s="92" t="str">
        <f ca="1">IF(AB58&gt;='⚙ Parámetros'!B23,"⚑ AUTO-PRIOR.(D1≥8)",IF(AJ58&gt;='⚙ Parámetros'!B23,"PRIORITARIO",IF(AJ58&gt;='⚙ Parámetros'!B24,"ALTA PRIORIDAD",IF(AJ58&gt;='⚙ Parámetros'!B25,"PRIORIDAD MEDIA",IF(AJ58&gt;='⚙ Parámetros'!B26,"BAJA PRIORIDAD","DESCARTAR")))))</f>
        <v>BAJA PRIORIDAD</v>
      </c>
      <c r="AL58" s="69" t="str">
        <f t="shared" si="3"/>
        <v>—</v>
      </c>
      <c r="AM58" s="85">
        <v>39</v>
      </c>
      <c r="AN58" s="83" t="str">
        <f>IF(AM58="","—",IF(AM58&lt;'⚙ Parámetros'!B29,"🟢 Corto",IF(AM58&lt;'⚙ Parámetros'!B30,"🟡 Medio","🔴 Largo")))</f>
        <v>🟡 Medio</v>
      </c>
    </row>
    <row r="59" spans="1:40" ht="18.75" customHeight="1" x14ac:dyDescent="0.25">
      <c r="A59" s="69">
        <v>55</v>
      </c>
      <c r="B59" s="70" t="s">
        <v>247</v>
      </c>
      <c r="C59" s="4" t="s">
        <v>138</v>
      </c>
      <c r="D59" s="71" t="s">
        <v>248</v>
      </c>
      <c r="E59" s="72" t="s">
        <v>249</v>
      </c>
      <c r="F59" s="74">
        <v>1</v>
      </c>
      <c r="G59" s="74">
        <v>1</v>
      </c>
      <c r="H59" s="73">
        <v>5</v>
      </c>
      <c r="I59" s="74">
        <v>1</v>
      </c>
      <c r="J59" s="73">
        <v>7</v>
      </c>
      <c r="K59" s="75">
        <v>8</v>
      </c>
      <c r="L59" s="73">
        <v>7</v>
      </c>
      <c r="M59" s="73">
        <v>3</v>
      </c>
      <c r="N59" s="74">
        <v>1</v>
      </c>
      <c r="O59" s="74">
        <v>1</v>
      </c>
      <c r="P59" s="73">
        <v>6</v>
      </c>
      <c r="Q59" s="73">
        <v>6</v>
      </c>
      <c r="R59" s="73">
        <v>5</v>
      </c>
      <c r="S59" s="73">
        <v>5</v>
      </c>
      <c r="T59" s="73">
        <v>5</v>
      </c>
      <c r="U59" s="73">
        <v>5</v>
      </c>
      <c r="V59" s="73">
        <v>5</v>
      </c>
      <c r="W59" s="73">
        <v>6</v>
      </c>
      <c r="X59" s="73">
        <v>3</v>
      </c>
      <c r="Y59" s="73">
        <v>4</v>
      </c>
      <c r="Z59" s="74">
        <v>2</v>
      </c>
      <c r="AA59" s="73">
        <v>5</v>
      </c>
      <c r="AB59" s="80">
        <f>IFERROR((30/100*MAX('⚙ Parámetros'!D15/(1+2^(-'⚙ Parámetros'!C15*(F59-'⚙ Parámetros'!B15))),'⚙ Parámetros'!G15/(1+2^(-'⚙ Parámetros'!F15*(F59-'⚙ Parámetros'!E15))),1)*F59+30/100*MAX('⚙ Parámetros'!D15/(1+2^(-'⚙ Parámetros'!C15*(G59-'⚙ Parámetros'!B15))),'⚙ Parámetros'!G15/(1+2^(-'⚙ Parámetros'!F15*(G59-'⚙ Parámetros'!E15))),1)*G59+20/100*MAX('⚙ Parámetros'!D15/(1+2^(-'⚙ Parámetros'!C15*(H59-'⚙ Parámetros'!B15))),'⚙ Parámetros'!G15/(1+2^(-'⚙ Parámetros'!F15*(H59-'⚙ Parámetros'!E15))),1)*H59+20/100*MAX('⚙ Parámetros'!D15/(1+2^(-'⚙ Parámetros'!C15*(I59-'⚙ Parámetros'!B15))),'⚙ Parámetros'!G15/(1+2^(-'⚙ Parámetros'!F15*(I59-'⚙ Parámetros'!E15))),1)*I59)/(30/100*MAX('⚙ Parámetros'!D15/(1+2^(-'⚙ Parámetros'!C15*(F59-'⚙ Parámetros'!B15))),'⚙ Parámetros'!G15/(1+2^(-'⚙ Parámetros'!F15*(F59-'⚙ Parámetros'!E15))),1)+30/100*MAX('⚙ Parámetros'!D15/(1+2^(-'⚙ Parámetros'!C15*(G59-'⚙ Parámetros'!B15))),'⚙ Parámetros'!G15/(1+2^(-'⚙ Parámetros'!F15*(G59-'⚙ Parámetros'!E15))),1)+20/100*MAX('⚙ Parámetros'!D15/(1+2^(-'⚙ Parámetros'!C15*(H59-'⚙ Parámetros'!B15))),'⚙ Parámetros'!G15/(1+2^(-'⚙ Parámetros'!F15*(H59-'⚙ Parámetros'!E15))),1)+20/100*MAX('⚙ Parámetros'!D15/(1+2^(-'⚙ Parámetros'!C15*(I59-'⚙ Parámetros'!B15))),'⚙ Parámetros'!G15/(1+2^(-'⚙ Parámetros'!F15*(I59-'⚙ Parámetros'!E15))),1)),0)</f>
        <v>2.1428571428571428</v>
      </c>
      <c r="AC59" s="80">
        <f>IFERROR((35/100*MAX('⚙ Parámetros'!D16/(1+2^(-'⚙ Parámetros'!C16*(J59-'⚙ Parámetros'!B16))),'⚙ Parámetros'!G16/(1+2^(-'⚙ Parámetros'!F16*(J59-'⚙ Parámetros'!E16))),1)*J59+25/100*MAX('⚙ Parámetros'!D16/(1+2^(-'⚙ Parámetros'!C16*(K59-'⚙ Parámetros'!B16))),'⚙ Parámetros'!G16/(1+2^(-'⚙ Parámetros'!F16*(K59-'⚙ Parámetros'!E16))),1)*K59+20/100*MAX('⚙ Parámetros'!D16/(1+2^(-'⚙ Parámetros'!C16*(L59-'⚙ Parámetros'!B16))),'⚙ Parámetros'!G16/(1+2^(-'⚙ Parámetros'!F16*(L59-'⚙ Parámetros'!E16))),1)*L59+20/100*MAX('⚙ Parámetros'!D16/(1+2^(-'⚙ Parámetros'!C16*(M59-'⚙ Parámetros'!B16))),'⚙ Parámetros'!G16/(1+2^(-'⚙ Parámetros'!F16*(M59-'⚙ Parámetros'!E16))),1)*M59)/(35/100*MAX('⚙ Parámetros'!D16/(1+2^(-'⚙ Parámetros'!C16*(J59-'⚙ Parámetros'!B16))),'⚙ Parámetros'!G16/(1+2^(-'⚙ Parámetros'!F16*(J59-'⚙ Parámetros'!E16))),1)+25/100*MAX('⚙ Parámetros'!D16/(1+2^(-'⚙ Parámetros'!C16*(K59-'⚙ Parámetros'!B16))),'⚙ Parámetros'!G16/(1+2^(-'⚙ Parámetros'!F16*(K59-'⚙ Parámetros'!E16))),1)+20/100*MAX('⚙ Parámetros'!D16/(1+2^(-'⚙ Parámetros'!C16*(L59-'⚙ Parámetros'!B16))),'⚙ Parámetros'!G16/(1+2^(-'⚙ Parámetros'!F16*(L59-'⚙ Parámetros'!E16))),1)+20/100*MAX('⚙ Parámetros'!D16/(1+2^(-'⚙ Parámetros'!C16*(M59-'⚙ Parámetros'!B16))),'⚙ Parámetros'!G16/(1+2^(-'⚙ Parámetros'!F16*(M59-'⚙ Parámetros'!E16))),1)),0)</f>
        <v>7.1164179104477618</v>
      </c>
      <c r="AD59" s="80">
        <f>IFERROR((30/100*MAX('⚙ Parámetros'!D17/(1+2^(-'⚙ Parámetros'!C17*(N59-'⚙ Parámetros'!B17))),'⚙ Parámetros'!G17/(1+2^(-'⚙ Parámetros'!F17*(N59-'⚙ Parámetros'!E17))),1)*N59+25/100*MAX('⚙ Parámetros'!D17/(1+2^(-'⚙ Parámetros'!C17*(O59-'⚙ Parámetros'!B17))),'⚙ Parámetros'!G17/(1+2^(-'⚙ Parámetros'!F17*(O59-'⚙ Parámetros'!E17))),1)*O59+25/100*MAX('⚙ Parámetros'!D17/(1+2^(-'⚙ Parámetros'!C17*(P59-'⚙ Parámetros'!B17))),'⚙ Parámetros'!G17/(1+2^(-'⚙ Parámetros'!F17*(P59-'⚙ Parámetros'!E17))),1)*P59+20/100*MAX('⚙ Parámetros'!D17/(1+2^(-'⚙ Parámetros'!C17*(Q59-'⚙ Parámetros'!B17))),'⚙ Parámetros'!G17/(1+2^(-'⚙ Parámetros'!F17*(Q59-'⚙ Parámetros'!E17))),1)*Q59)/(30/100*MAX('⚙ Parámetros'!D17/(1+2^(-'⚙ Parámetros'!C17*(N59-'⚙ Parámetros'!B17))),'⚙ Parámetros'!G17/(1+2^(-'⚙ Parámetros'!F17*(N59-'⚙ Parámetros'!E17))),1)+25/100*MAX('⚙ Parámetros'!D17/(1+2^(-'⚙ Parámetros'!C17*(O59-'⚙ Parámetros'!B17))),'⚙ Parámetros'!G17/(1+2^(-'⚙ Parámetros'!F17*(O59-'⚙ Parámetros'!E17))),1)+25/100*MAX('⚙ Parámetros'!D17/(1+2^(-'⚙ Parámetros'!C17*(P59-'⚙ Parámetros'!B17))),'⚙ Parámetros'!G17/(1+2^(-'⚙ Parámetros'!F17*(P59-'⚙ Parámetros'!E17))),1)+20/100*MAX('⚙ Parámetros'!D17/(1+2^(-'⚙ Parámetros'!C17*(Q59-'⚙ Parámetros'!B17))),'⚙ Parámetros'!G17/(1+2^(-'⚙ Parámetros'!F17*(Q59-'⚙ Parámetros'!E17))),1)),0)</f>
        <v>4.3128834355828216</v>
      </c>
      <c r="AE59" s="80">
        <f>IFERROR((30/100*MAX('⚙ Parámetros'!D18/(1+2^(-'⚙ Parámetros'!C18*(R59-'⚙ Parámetros'!B18))),'⚙ Parámetros'!G18/(1+2^(-'⚙ Parámetros'!F18*(R59-'⚙ Parámetros'!E18))),1)*R59+30/100*MAX('⚙ Parámetros'!D18/(1+2^(-'⚙ Parámetros'!C18*(S59-'⚙ Parámetros'!B18))),'⚙ Parámetros'!G18/(1+2^(-'⚙ Parámetros'!F18*(S59-'⚙ Parámetros'!E18))),1)*S59+20/100*MAX('⚙ Parámetros'!D18/(1+2^(-'⚙ Parámetros'!C18*(T59-'⚙ Parámetros'!B18))),'⚙ Parámetros'!G18/(1+2^(-'⚙ Parámetros'!F18*(T59-'⚙ Parámetros'!E18))),1)*T59+20/100*MAX('⚙ Parámetros'!D18/(1+2^(-'⚙ Parámetros'!C18*(U59-'⚙ Parámetros'!B18))),'⚙ Parámetros'!G18/(1+2^(-'⚙ Parámetros'!F18*(U59-'⚙ Parámetros'!E18))),1)*U59)/(30/100*MAX('⚙ Parámetros'!D18/(1+2^(-'⚙ Parámetros'!C18*(R59-'⚙ Parámetros'!B18))),'⚙ Parámetros'!G18/(1+2^(-'⚙ Parámetros'!F18*(R59-'⚙ Parámetros'!E18))),1)+30/100*MAX('⚙ Parámetros'!D18/(1+2^(-'⚙ Parámetros'!C18*(S59-'⚙ Parámetros'!B18))),'⚙ Parámetros'!G18/(1+2^(-'⚙ Parámetros'!F18*(S59-'⚙ Parámetros'!E18))),1)+20/100*MAX('⚙ Parámetros'!D18/(1+2^(-'⚙ Parámetros'!C18*(T59-'⚙ Parámetros'!B18))),'⚙ Parámetros'!G18/(1+2^(-'⚙ Parámetros'!F18*(T59-'⚙ Parámetros'!E18))),1)+20/100*MAX('⚙ Parámetros'!D18/(1+2^(-'⚙ Parámetros'!C18*(U59-'⚙ Parámetros'!B18))),'⚙ Parámetros'!G18/(1+2^(-'⚙ Parámetros'!F18*(U59-'⚙ Parámetros'!E18))),1)),0)</f>
        <v>5</v>
      </c>
      <c r="AF59" s="80">
        <f>IFERROR((30/100*MAX('⚙ Parámetros'!D19/(1+2^(-'⚙ Parámetros'!C19*(V59-'⚙ Parámetros'!B19))),'⚙ Parámetros'!G19/(1+2^(-'⚙ Parámetros'!F19*(V59-'⚙ Parámetros'!E19))),1)*V59+35/100*MAX('⚙ Parámetros'!D19/(1+2^(-'⚙ Parámetros'!C19*(W59-'⚙ Parámetros'!B19))),'⚙ Parámetros'!G19/(1+2^(-'⚙ Parámetros'!F19*(W59-'⚙ Parámetros'!E19))),1)*W59+35/100*MAX('⚙ Parámetros'!D19/(1+2^(-'⚙ Parámetros'!C19*(X59-'⚙ Parámetros'!B19))),'⚙ Parámetros'!G19/(1+2^(-'⚙ Parámetros'!F19*(X59-'⚙ Parámetros'!E19))),1)*X59)/(30/100*MAX('⚙ Parámetros'!D19/(1+2^(-'⚙ Parámetros'!C19*(V59-'⚙ Parámetros'!B19))),'⚙ Parámetros'!G19/(1+2^(-'⚙ Parámetros'!F19*(V59-'⚙ Parámetros'!E19))),1)+35/100*MAX('⚙ Parámetros'!D19/(1+2^(-'⚙ Parámetros'!C19*(W59-'⚙ Parámetros'!B19))),'⚙ Parámetros'!G19/(1+2^(-'⚙ Parámetros'!F19*(W59-'⚙ Parámetros'!E19))),1)+35/100*MAX('⚙ Parámetros'!D19/(1+2^(-'⚙ Parámetros'!C19*(X59-'⚙ Parámetros'!B19))),'⚙ Parámetros'!G19/(1+2^(-'⚙ Parámetros'!F19*(X59-'⚙ Parámetros'!E19))),1)),0)</f>
        <v>5.0782122905027931</v>
      </c>
      <c r="AG59" s="80">
        <f>IFERROR((35/100*MAX('⚙ Parámetros'!D20/(1+2^(-'⚙ Parámetros'!C20*(Y59-'⚙ Parámetros'!B20))),'⚙ Parámetros'!G20/(1+2^(-'⚙ Parámetros'!F20*(Y59-'⚙ Parámetros'!E20))),1)*Y59+35/100*MAX('⚙ Parámetros'!D20/(1+2^(-'⚙ Parámetros'!C20*(Z59-'⚙ Parámetros'!B20))),'⚙ Parámetros'!G20/(1+2^(-'⚙ Parámetros'!F20*(Z59-'⚙ Parámetros'!E20))),1)*Z59+30/100*MAX('⚙ Parámetros'!D20/(1+2^(-'⚙ Parámetros'!C20*(AA59-'⚙ Parámetros'!B20))),'⚙ Parámetros'!G20/(1+2^(-'⚙ Parámetros'!F20*(AA59-'⚙ Parámetros'!E20))),1)*AA59)/(35/100*MAX('⚙ Parámetros'!D20/(1+2^(-'⚙ Parámetros'!C20*(Y59-'⚙ Parámetros'!B20))),'⚙ Parámetros'!G20/(1+2^(-'⚙ Parámetros'!F20*(Y59-'⚙ Parámetros'!E20))),1)+35/100*MAX('⚙ Parámetros'!D20/(1+2^(-'⚙ Parámetros'!C20*(Z59-'⚙ Parámetros'!B20))),'⚙ Parámetros'!G20/(1+2^(-'⚙ Parámetros'!F20*(Z59-'⚙ Parámetros'!E20))),1)+30/100*MAX('⚙ Parámetros'!D20/(1+2^(-'⚙ Parámetros'!C20*(AA59-'⚙ Parámetros'!B20))),'⚙ Parámetros'!G20/(1+2^(-'⚙ Parámetros'!F20*(AA59-'⚙ Parámetros'!E20))),1)),0)</f>
        <v>3.7272727272727275</v>
      </c>
      <c r="AH59" s="81">
        <f>('⚙ Parámetros'!B5/100*AB59+'⚙ Parámetros'!B6/100*AC59+'⚙ Parámetros'!B7/100*AD59+'⚙ Parámetros'!B8/100*AE59+'⚙ Parámetros'!B9/100*AF59+'⚙ Parámetros'!B10/100*AG59)</f>
        <v>4.3347204592953572</v>
      </c>
      <c r="AI59" s="33">
        <f ca="1">MIN(1+MAX(0,TODAY()-DATE(2026,3,18))/365*'⚙ Parámetros'!B33,'⚙ Parámetros'!B34)</f>
        <v>1.0353424657534247</v>
      </c>
      <c r="AJ59" s="82">
        <f t="shared" ca="1" si="2"/>
        <v>4.4879201686786727</v>
      </c>
      <c r="AK59" s="83" t="str">
        <f ca="1">IF(AB59&gt;='⚙ Parámetros'!B23,"⚑ AUTO-PRIOR.(D1≥8)",IF(AJ59&gt;='⚙ Parámetros'!B23,"PRIORITARIO",IF(AJ59&gt;='⚙ Parámetros'!B24,"ALTA PRIORIDAD",IF(AJ59&gt;='⚙ Parámetros'!B25,"PRIORIDAD MEDIA",IF(AJ59&gt;='⚙ Parámetros'!B26,"BAJA PRIORIDAD","DESCARTAR")))))</f>
        <v>BAJA PRIORIDAD</v>
      </c>
      <c r="AL59" s="84" t="str">
        <f t="shared" si="3"/>
        <v>—</v>
      </c>
      <c r="AM59" s="85">
        <v>43</v>
      </c>
      <c r="AN59" s="83" t="str">
        <f>IF(AM59="","—",IF(AM59&lt;'⚙ Parámetros'!B29,"🟢 Corto",IF(AM59&lt;'⚙ Parámetros'!B30,"🟡 Medio","🔴 Largo")))</f>
        <v>🟡 Medio</v>
      </c>
    </row>
    <row r="60" spans="1:40" ht="18.75" customHeight="1" x14ac:dyDescent="0.25">
      <c r="A60" s="69">
        <v>56</v>
      </c>
      <c r="B60" s="30" t="s">
        <v>250</v>
      </c>
      <c r="C60" s="26" t="s">
        <v>239</v>
      </c>
      <c r="D60" s="71" t="s">
        <v>136</v>
      </c>
      <c r="E60" s="72" t="s">
        <v>251</v>
      </c>
      <c r="F60" s="74">
        <v>1</v>
      </c>
      <c r="G60" s="86">
        <v>7</v>
      </c>
      <c r="H60" s="74">
        <v>1</v>
      </c>
      <c r="I60" s="74">
        <v>1</v>
      </c>
      <c r="J60" s="74">
        <v>1</v>
      </c>
      <c r="K60" s="74">
        <v>1</v>
      </c>
      <c r="L60" s="75">
        <v>8</v>
      </c>
      <c r="M60" s="86">
        <v>3</v>
      </c>
      <c r="N60" s="74">
        <v>1</v>
      </c>
      <c r="O60" s="74">
        <v>1</v>
      </c>
      <c r="P60" s="74">
        <v>1</v>
      </c>
      <c r="Q60" s="74">
        <v>1</v>
      </c>
      <c r="R60" s="86">
        <v>6</v>
      </c>
      <c r="S60" s="86">
        <v>6</v>
      </c>
      <c r="T60" s="86">
        <v>5</v>
      </c>
      <c r="U60" s="86">
        <v>5</v>
      </c>
      <c r="V60" s="77">
        <v>8</v>
      </c>
      <c r="W60" s="86">
        <v>4</v>
      </c>
      <c r="X60" s="86">
        <v>5</v>
      </c>
      <c r="Y60" s="86">
        <v>4</v>
      </c>
      <c r="Z60" s="74">
        <v>2</v>
      </c>
      <c r="AA60" s="86">
        <v>5</v>
      </c>
      <c r="AB60" s="89">
        <f>IFERROR((30/100*MAX('⚙ Parámetros'!D15/(1+2^(-'⚙ Parámetros'!C15*(F60-'⚙ Parámetros'!B15))),'⚙ Parámetros'!G15/(1+2^(-'⚙ Parámetros'!F15*(F60-'⚙ Parámetros'!E15))),1)*F60+30/100*MAX('⚙ Parámetros'!D15/(1+2^(-'⚙ Parámetros'!C15*(G60-'⚙ Parámetros'!B15))),'⚙ Parámetros'!G15/(1+2^(-'⚙ Parámetros'!F15*(G60-'⚙ Parámetros'!E15))),1)*G60+20/100*MAX('⚙ Parámetros'!D15/(1+2^(-'⚙ Parámetros'!C15*(H60-'⚙ Parámetros'!B15))),'⚙ Parámetros'!G15/(1+2^(-'⚙ Parámetros'!F15*(H60-'⚙ Parámetros'!E15))),1)*H60+20/100*MAX('⚙ Parámetros'!D15/(1+2^(-'⚙ Parámetros'!C15*(I60-'⚙ Parámetros'!B15))),'⚙ Parámetros'!G15/(1+2^(-'⚙ Parámetros'!F15*(I60-'⚙ Parámetros'!E15))),1)*I60)/(30/100*MAX('⚙ Parámetros'!D15/(1+2^(-'⚙ Parámetros'!C15*(F60-'⚙ Parámetros'!B15))),'⚙ Parámetros'!G15/(1+2^(-'⚙ Parámetros'!F15*(F60-'⚙ Parámetros'!E15))),1)+30/100*MAX('⚙ Parámetros'!D15/(1+2^(-'⚙ Parámetros'!C15*(G60-'⚙ Parámetros'!B15))),'⚙ Parámetros'!G15/(1+2^(-'⚙ Parámetros'!F15*(G60-'⚙ Parámetros'!E15))),1)+20/100*MAX('⚙ Parámetros'!D15/(1+2^(-'⚙ Parámetros'!C15*(H60-'⚙ Parámetros'!B15))),'⚙ Parámetros'!G15/(1+2^(-'⚙ Parámetros'!F15*(H60-'⚙ Parámetros'!E15))),1)+20/100*MAX('⚙ Parámetros'!D15/(1+2^(-'⚙ Parámetros'!C15*(I60-'⚙ Parámetros'!B15))),'⚙ Parámetros'!G15/(1+2^(-'⚙ Parámetros'!F15*(I60-'⚙ Parámetros'!E15))),1)),0)</f>
        <v>4.9512195121951219</v>
      </c>
      <c r="AC60" s="89">
        <f>IFERROR((35/100*MAX('⚙ Parámetros'!D16/(1+2^(-'⚙ Parámetros'!C16*(J60-'⚙ Parámetros'!B16))),'⚙ Parámetros'!G16/(1+2^(-'⚙ Parámetros'!F16*(J60-'⚙ Parámetros'!E16))),1)*J60+25/100*MAX('⚙ Parámetros'!D16/(1+2^(-'⚙ Parámetros'!C16*(K60-'⚙ Parámetros'!B16))),'⚙ Parámetros'!G16/(1+2^(-'⚙ Parámetros'!F16*(K60-'⚙ Parámetros'!E16))),1)*K60+20/100*MAX('⚙ Parámetros'!D16/(1+2^(-'⚙ Parámetros'!C16*(L60-'⚙ Parámetros'!B16))),'⚙ Parámetros'!G16/(1+2^(-'⚙ Parámetros'!F16*(L60-'⚙ Parámetros'!E16))),1)*L60+20/100*MAX('⚙ Parámetros'!D16/(1+2^(-'⚙ Parámetros'!C16*(M60-'⚙ Parámetros'!B16))),'⚙ Parámetros'!G16/(1+2^(-'⚙ Parámetros'!F16*(M60-'⚙ Parámetros'!E16))),1)*M60)/(35/100*MAX('⚙ Parámetros'!D16/(1+2^(-'⚙ Parámetros'!C16*(J60-'⚙ Parámetros'!B16))),'⚙ Parámetros'!G16/(1+2^(-'⚙ Parámetros'!F16*(J60-'⚙ Parámetros'!E16))),1)+25/100*MAX('⚙ Parámetros'!D16/(1+2^(-'⚙ Parámetros'!C16*(K60-'⚙ Parámetros'!B16))),'⚙ Parámetros'!G16/(1+2^(-'⚙ Parámetros'!F16*(K60-'⚙ Parámetros'!E16))),1)+20/100*MAX('⚙ Parámetros'!D16/(1+2^(-'⚙ Parámetros'!C16*(L60-'⚙ Parámetros'!B16))),'⚙ Parámetros'!G16/(1+2^(-'⚙ Parámetros'!F16*(L60-'⚙ Parámetros'!E16))),1)+20/100*MAX('⚙ Parámetros'!D16/(1+2^(-'⚙ Parámetros'!C16*(M60-'⚙ Parámetros'!B16))),'⚙ Parámetros'!G16/(1+2^(-'⚙ Parámetros'!F16*(M60-'⚙ Parámetros'!E16))),1)),0)</f>
        <v>4.9411764705882355</v>
      </c>
      <c r="AD60" s="89">
        <f>IFERROR((30/100*MAX('⚙ Parámetros'!D17/(1+2^(-'⚙ Parámetros'!C17*(N60-'⚙ Parámetros'!B17))),'⚙ Parámetros'!G17/(1+2^(-'⚙ Parámetros'!F17*(N60-'⚙ Parámetros'!E17))),1)*N60+25/100*MAX('⚙ Parámetros'!D17/(1+2^(-'⚙ Parámetros'!C17*(O60-'⚙ Parámetros'!B17))),'⚙ Parámetros'!G17/(1+2^(-'⚙ Parámetros'!F17*(O60-'⚙ Parámetros'!E17))),1)*O60+25/100*MAX('⚙ Parámetros'!D17/(1+2^(-'⚙ Parámetros'!C17*(P60-'⚙ Parámetros'!B17))),'⚙ Parámetros'!G17/(1+2^(-'⚙ Parámetros'!F17*(P60-'⚙ Parámetros'!E17))),1)*P60+20/100*MAX('⚙ Parámetros'!D17/(1+2^(-'⚙ Parámetros'!C17*(Q60-'⚙ Parámetros'!B17))),'⚙ Parámetros'!G17/(1+2^(-'⚙ Parámetros'!F17*(Q60-'⚙ Parámetros'!E17))),1)*Q60)/(30/100*MAX('⚙ Parámetros'!D17/(1+2^(-'⚙ Parámetros'!C17*(N60-'⚙ Parámetros'!B17))),'⚙ Parámetros'!G17/(1+2^(-'⚙ Parámetros'!F17*(N60-'⚙ Parámetros'!E17))),1)+25/100*MAX('⚙ Parámetros'!D17/(1+2^(-'⚙ Parámetros'!C17*(O60-'⚙ Parámetros'!B17))),'⚙ Parámetros'!G17/(1+2^(-'⚙ Parámetros'!F17*(O60-'⚙ Parámetros'!E17))),1)+25/100*MAX('⚙ Parámetros'!D17/(1+2^(-'⚙ Parámetros'!C17*(P60-'⚙ Parámetros'!B17))),'⚙ Parámetros'!G17/(1+2^(-'⚙ Parámetros'!F17*(P60-'⚙ Parámetros'!E17))),1)+20/100*MAX('⚙ Parámetros'!D17/(1+2^(-'⚙ Parámetros'!C17*(Q60-'⚙ Parámetros'!B17))),'⚙ Parámetros'!G17/(1+2^(-'⚙ Parámetros'!F17*(Q60-'⚙ Parámetros'!E17))),1)),0)</f>
        <v>1</v>
      </c>
      <c r="AE60" s="89">
        <f>IFERROR((30/100*MAX('⚙ Parámetros'!D18/(1+2^(-'⚙ Parámetros'!C18*(R60-'⚙ Parámetros'!B18))),'⚙ Parámetros'!G18/(1+2^(-'⚙ Parámetros'!F18*(R60-'⚙ Parámetros'!E18))),1)*R60+30/100*MAX('⚙ Parámetros'!D18/(1+2^(-'⚙ Parámetros'!C18*(S60-'⚙ Parámetros'!B18))),'⚙ Parámetros'!G18/(1+2^(-'⚙ Parámetros'!F18*(S60-'⚙ Parámetros'!E18))),1)*S60+20/100*MAX('⚙ Parámetros'!D18/(1+2^(-'⚙ Parámetros'!C18*(T60-'⚙ Parámetros'!B18))),'⚙ Parámetros'!G18/(1+2^(-'⚙ Parámetros'!F18*(T60-'⚙ Parámetros'!E18))),1)*T60+20/100*MAX('⚙ Parámetros'!D18/(1+2^(-'⚙ Parámetros'!C18*(U60-'⚙ Parámetros'!B18))),'⚙ Parámetros'!G18/(1+2^(-'⚙ Parámetros'!F18*(U60-'⚙ Parámetros'!E18))),1)*U60)/(30/100*MAX('⚙ Parámetros'!D18/(1+2^(-'⚙ Parámetros'!C18*(R60-'⚙ Parámetros'!B18))),'⚙ Parámetros'!G18/(1+2^(-'⚙ Parámetros'!F18*(R60-'⚙ Parámetros'!E18))),1)+30/100*MAX('⚙ Parámetros'!D18/(1+2^(-'⚙ Parámetros'!C18*(S60-'⚙ Parámetros'!B18))),'⚙ Parámetros'!G18/(1+2^(-'⚙ Parámetros'!F18*(S60-'⚙ Parámetros'!E18))),1)+20/100*MAX('⚙ Parámetros'!D18/(1+2^(-'⚙ Parámetros'!C18*(T60-'⚙ Parámetros'!B18))),'⚙ Parámetros'!G18/(1+2^(-'⚙ Parámetros'!F18*(T60-'⚙ Parámetros'!E18))),1)+20/100*MAX('⚙ Parámetros'!D18/(1+2^(-'⚙ Parámetros'!C18*(U60-'⚙ Parámetros'!B18))),'⚙ Parámetros'!G18/(1+2^(-'⚙ Parámetros'!F18*(U60-'⚙ Parámetros'!E18))),1)),0)</f>
        <v>5.6428571428571441</v>
      </c>
      <c r="AF60" s="89">
        <f>IFERROR((30/100*MAX('⚙ Parámetros'!D19/(1+2^(-'⚙ Parámetros'!C19*(V60-'⚙ Parámetros'!B19))),'⚙ Parámetros'!G19/(1+2^(-'⚙ Parámetros'!F19*(V60-'⚙ Parámetros'!E19))),1)*V60+35/100*MAX('⚙ Parámetros'!D19/(1+2^(-'⚙ Parámetros'!C19*(W60-'⚙ Parámetros'!B19))),'⚙ Parámetros'!G19/(1+2^(-'⚙ Parámetros'!F19*(W60-'⚙ Parámetros'!E19))),1)*W60+35/100*MAX('⚙ Parámetros'!D19/(1+2^(-'⚙ Parámetros'!C19*(X60-'⚙ Parámetros'!B19))),'⚙ Parámetros'!G19/(1+2^(-'⚙ Parámetros'!F19*(X60-'⚙ Parámetros'!E19))),1)*X60)/(30/100*MAX('⚙ Parámetros'!D19/(1+2^(-'⚙ Parámetros'!C19*(V60-'⚙ Parámetros'!B19))),'⚙ Parámetros'!G19/(1+2^(-'⚙ Parámetros'!F19*(V60-'⚙ Parámetros'!E19))),1)+35/100*MAX('⚙ Parámetros'!D19/(1+2^(-'⚙ Parámetros'!C19*(W60-'⚙ Parámetros'!B19))),'⚙ Parámetros'!G19/(1+2^(-'⚙ Parámetros'!F19*(W60-'⚙ Parámetros'!E19))),1)+35/100*MAX('⚙ Parámetros'!D19/(1+2^(-'⚙ Parámetros'!C19*(X60-'⚙ Parámetros'!B19))),'⚙ Parámetros'!G19/(1+2^(-'⚙ Parámetros'!F19*(X60-'⚙ Parámetros'!E19))),1)),0)</f>
        <v>6.1538461538461542</v>
      </c>
      <c r="AG60" s="89">
        <f>IFERROR((35/100*MAX('⚙ Parámetros'!D20/(1+2^(-'⚙ Parámetros'!C20*(Y60-'⚙ Parámetros'!B20))),'⚙ Parámetros'!G20/(1+2^(-'⚙ Parámetros'!F20*(Y60-'⚙ Parámetros'!E20))),1)*Y60+35/100*MAX('⚙ Parámetros'!D20/(1+2^(-'⚙ Parámetros'!C20*(Z60-'⚙ Parámetros'!B20))),'⚙ Parámetros'!G20/(1+2^(-'⚙ Parámetros'!F20*(Z60-'⚙ Parámetros'!E20))),1)*Z60+30/100*MAX('⚙ Parámetros'!D20/(1+2^(-'⚙ Parámetros'!C20*(AA60-'⚙ Parámetros'!B20))),'⚙ Parámetros'!G20/(1+2^(-'⚙ Parámetros'!F20*(AA60-'⚙ Parámetros'!E20))),1)*AA60)/(35/100*MAX('⚙ Parámetros'!D20/(1+2^(-'⚙ Parámetros'!C20*(Y60-'⚙ Parámetros'!B20))),'⚙ Parámetros'!G20/(1+2^(-'⚙ Parámetros'!F20*(Y60-'⚙ Parámetros'!E20))),1)+35/100*MAX('⚙ Parámetros'!D20/(1+2^(-'⚙ Parámetros'!C20*(Z60-'⚙ Parámetros'!B20))),'⚙ Parámetros'!G20/(1+2^(-'⚙ Parámetros'!F20*(Z60-'⚙ Parámetros'!E20))),1)+30/100*MAX('⚙ Parámetros'!D20/(1+2^(-'⚙ Parámetros'!C20*(AA60-'⚙ Parámetros'!B20))),'⚙ Parámetros'!G20/(1+2^(-'⚙ Parámetros'!F20*(AA60-'⚙ Parámetros'!E20))),1)),0)</f>
        <v>3.7272727272727275</v>
      </c>
      <c r="AH60" s="90">
        <f>('⚙ Parámetros'!B5/100*AB60+'⚙ Parámetros'!B6/100*AC60+'⚙ Parámetros'!B7/100*AD60+'⚙ Parámetros'!B8/100*AE60+'⚙ Parámetros'!B9/100*AF60+'⚙ Parámetros'!B10/100*AG60)</f>
        <v>4.2643104384854746</v>
      </c>
      <c r="AI60" s="91">
        <f ca="1">MIN(1+MAX(0,TODAY()-DATE(2025,7,16))/365*'⚙ Parámetros'!B33,'⚙ Parámetros'!B34)</f>
        <v>1.1360273972602739</v>
      </c>
      <c r="AJ60" s="82">
        <f t="shared" ca="1" si="2"/>
        <v>4.8443734885424714</v>
      </c>
      <c r="AK60" s="92" t="str">
        <f ca="1">IF(AB60&gt;='⚙ Parámetros'!B23,"⚑ AUTO-PRIOR.(D1≥8)",IF(AJ60&gt;='⚙ Parámetros'!B23,"PRIORITARIO",IF(AJ60&gt;='⚙ Parámetros'!B24,"ALTA PRIORIDAD",IF(AJ60&gt;='⚙ Parámetros'!B25,"PRIORIDAD MEDIA",IF(AJ60&gt;='⚙ Parámetros'!B26,"BAJA PRIORIDAD","DESCARTAR")))))</f>
        <v>BAJA PRIORIDAD</v>
      </c>
      <c r="AL60" s="69" t="str">
        <f t="shared" si="3"/>
        <v>—</v>
      </c>
      <c r="AM60" s="85">
        <v>19</v>
      </c>
      <c r="AN60" s="83" t="str">
        <f>IF(AM60="","—",IF(AM60&lt;'⚙ Parámetros'!B29,"🟢 Corto",IF(AM60&lt;'⚙ Parámetros'!B30,"🟡 Medio","🔴 Largo")))</f>
        <v>🟢 Corto</v>
      </c>
    </row>
    <row r="61" spans="1:40" ht="18.75" customHeight="1" x14ac:dyDescent="0.25">
      <c r="A61" s="69">
        <v>57</v>
      </c>
      <c r="B61" s="70" t="s">
        <v>252</v>
      </c>
      <c r="C61" s="4" t="s">
        <v>253</v>
      </c>
      <c r="D61" s="71" t="s">
        <v>192</v>
      </c>
      <c r="E61" s="72" t="s">
        <v>249</v>
      </c>
      <c r="F61" s="74">
        <v>1</v>
      </c>
      <c r="G61" s="74">
        <v>1</v>
      </c>
      <c r="H61" s="74">
        <v>1</v>
      </c>
      <c r="I61" s="74">
        <v>1</v>
      </c>
      <c r="J61" s="74">
        <v>1</v>
      </c>
      <c r="K61" s="75">
        <v>8</v>
      </c>
      <c r="L61" s="75">
        <v>8</v>
      </c>
      <c r="M61" s="73">
        <v>3</v>
      </c>
      <c r="N61" s="74">
        <v>1</v>
      </c>
      <c r="O61" s="74">
        <v>1</v>
      </c>
      <c r="P61" s="74">
        <v>1</v>
      </c>
      <c r="Q61" s="74">
        <v>1</v>
      </c>
      <c r="R61" s="76">
        <v>9</v>
      </c>
      <c r="S61" s="76">
        <v>9</v>
      </c>
      <c r="T61" s="73">
        <v>5</v>
      </c>
      <c r="U61" s="73">
        <v>5</v>
      </c>
      <c r="V61" s="77">
        <v>8</v>
      </c>
      <c r="W61" s="73">
        <v>6</v>
      </c>
      <c r="X61" s="77">
        <v>9</v>
      </c>
      <c r="Y61" s="78">
        <v>9</v>
      </c>
      <c r="Z61" s="74">
        <v>2</v>
      </c>
      <c r="AA61" s="78">
        <v>8</v>
      </c>
      <c r="AB61" s="80">
        <f>IFERROR((30/100*MAX('⚙ Parámetros'!D15/(1+2^(-'⚙ Parámetros'!C15*(F61-'⚙ Parámetros'!B15))),'⚙ Parámetros'!G15/(1+2^(-'⚙ Parámetros'!F15*(F61-'⚙ Parámetros'!E15))),1)*F61+30/100*MAX('⚙ Parámetros'!D15/(1+2^(-'⚙ Parámetros'!C15*(G61-'⚙ Parámetros'!B15))),'⚙ Parámetros'!G15/(1+2^(-'⚙ Parámetros'!F15*(G61-'⚙ Parámetros'!E15))),1)*G61+20/100*MAX('⚙ Parámetros'!D15/(1+2^(-'⚙ Parámetros'!C15*(H61-'⚙ Parámetros'!B15))),'⚙ Parámetros'!G15/(1+2^(-'⚙ Parámetros'!F15*(H61-'⚙ Parámetros'!E15))),1)*H61+20/100*MAX('⚙ Parámetros'!D15/(1+2^(-'⚙ Parámetros'!C15*(I61-'⚙ Parámetros'!B15))),'⚙ Parámetros'!G15/(1+2^(-'⚙ Parámetros'!F15*(I61-'⚙ Parámetros'!E15))),1)*I61)/(30/100*MAX('⚙ Parámetros'!D15/(1+2^(-'⚙ Parámetros'!C15*(F61-'⚙ Parámetros'!B15))),'⚙ Parámetros'!G15/(1+2^(-'⚙ Parámetros'!F15*(F61-'⚙ Parámetros'!E15))),1)+30/100*MAX('⚙ Parámetros'!D15/(1+2^(-'⚙ Parámetros'!C15*(G61-'⚙ Parámetros'!B15))),'⚙ Parámetros'!G15/(1+2^(-'⚙ Parámetros'!F15*(G61-'⚙ Parámetros'!E15))),1)+20/100*MAX('⚙ Parámetros'!D15/(1+2^(-'⚙ Parámetros'!C15*(H61-'⚙ Parámetros'!B15))),'⚙ Parámetros'!G15/(1+2^(-'⚙ Parámetros'!F15*(H61-'⚙ Parámetros'!E15))),1)+20/100*MAX('⚙ Parámetros'!D15/(1+2^(-'⚙ Parámetros'!C15*(I61-'⚙ Parámetros'!B15))),'⚙ Parámetros'!G15/(1+2^(-'⚙ Parámetros'!F15*(I61-'⚙ Parámetros'!E15))),1)),0)</f>
        <v>1</v>
      </c>
      <c r="AC61" s="80">
        <f>IFERROR((35/100*MAX('⚙ Parámetros'!D16/(1+2^(-'⚙ Parámetros'!C16*(J61-'⚙ Parámetros'!B16))),'⚙ Parámetros'!G16/(1+2^(-'⚙ Parámetros'!F16*(J61-'⚙ Parámetros'!E16))),1)*J61+25/100*MAX('⚙ Parámetros'!D16/(1+2^(-'⚙ Parámetros'!C16*(K61-'⚙ Parámetros'!B16))),'⚙ Parámetros'!G16/(1+2^(-'⚙ Parámetros'!F16*(K61-'⚙ Parámetros'!E16))),1)*K61+20/100*MAX('⚙ Parámetros'!D16/(1+2^(-'⚙ Parámetros'!C16*(L61-'⚙ Parámetros'!B16))),'⚙ Parámetros'!G16/(1+2^(-'⚙ Parámetros'!F16*(L61-'⚙ Parámetros'!E16))),1)*L61+20/100*MAX('⚙ Parámetros'!D16/(1+2^(-'⚙ Parámetros'!C16*(M61-'⚙ Parámetros'!B16))),'⚙ Parámetros'!G16/(1+2^(-'⚙ Parámetros'!F16*(M61-'⚙ Parámetros'!E16))),1)*M61)/(35/100*MAX('⚙ Parámetros'!D16/(1+2^(-'⚙ Parámetros'!C16*(J61-'⚙ Parámetros'!B16))),'⚙ Parámetros'!G16/(1+2^(-'⚙ Parámetros'!F16*(J61-'⚙ Parámetros'!E16))),1)+25/100*MAX('⚙ Parámetros'!D16/(1+2^(-'⚙ Parámetros'!C16*(K61-'⚙ Parámetros'!B16))),'⚙ Parámetros'!G16/(1+2^(-'⚙ Parámetros'!F16*(K61-'⚙ Parámetros'!E16))),1)+20/100*MAX('⚙ Parámetros'!D16/(1+2^(-'⚙ Parámetros'!C16*(L61-'⚙ Parámetros'!B16))),'⚙ Parámetros'!G16/(1+2^(-'⚙ Parámetros'!F16*(L61-'⚙ Parámetros'!E16))),1)+20/100*MAX('⚙ Parámetros'!D16/(1+2^(-'⚙ Parámetros'!C16*(M61-'⚙ Parámetros'!B16))),'⚙ Parámetros'!G16/(1+2^(-'⚙ Parámetros'!F16*(M61-'⚙ Parámetros'!E16))),1)),0)</f>
        <v>6.6601941747572821</v>
      </c>
      <c r="AD61" s="80">
        <f>IFERROR((30/100*MAX('⚙ Parámetros'!D17/(1+2^(-'⚙ Parámetros'!C17*(N61-'⚙ Parámetros'!B17))),'⚙ Parámetros'!G17/(1+2^(-'⚙ Parámetros'!F17*(N61-'⚙ Parámetros'!E17))),1)*N61+25/100*MAX('⚙ Parámetros'!D17/(1+2^(-'⚙ Parámetros'!C17*(O61-'⚙ Parámetros'!B17))),'⚙ Parámetros'!G17/(1+2^(-'⚙ Parámetros'!F17*(O61-'⚙ Parámetros'!E17))),1)*O61+25/100*MAX('⚙ Parámetros'!D17/(1+2^(-'⚙ Parámetros'!C17*(P61-'⚙ Parámetros'!B17))),'⚙ Parámetros'!G17/(1+2^(-'⚙ Parámetros'!F17*(P61-'⚙ Parámetros'!E17))),1)*P61+20/100*MAX('⚙ Parámetros'!D17/(1+2^(-'⚙ Parámetros'!C17*(Q61-'⚙ Parámetros'!B17))),'⚙ Parámetros'!G17/(1+2^(-'⚙ Parámetros'!F17*(Q61-'⚙ Parámetros'!E17))),1)*Q61)/(30/100*MAX('⚙ Parámetros'!D17/(1+2^(-'⚙ Parámetros'!C17*(N61-'⚙ Parámetros'!B17))),'⚙ Parámetros'!G17/(1+2^(-'⚙ Parámetros'!F17*(N61-'⚙ Parámetros'!E17))),1)+25/100*MAX('⚙ Parámetros'!D17/(1+2^(-'⚙ Parámetros'!C17*(O61-'⚙ Parámetros'!B17))),'⚙ Parámetros'!G17/(1+2^(-'⚙ Parámetros'!F17*(O61-'⚙ Parámetros'!E17))),1)+25/100*MAX('⚙ Parámetros'!D17/(1+2^(-'⚙ Parámetros'!C17*(P61-'⚙ Parámetros'!B17))),'⚙ Parámetros'!G17/(1+2^(-'⚙ Parámetros'!F17*(P61-'⚙ Parámetros'!E17))),1)+20/100*MAX('⚙ Parámetros'!D17/(1+2^(-'⚙ Parámetros'!C17*(Q61-'⚙ Parámetros'!B17))),'⚙ Parámetros'!G17/(1+2^(-'⚙ Parámetros'!F17*(Q61-'⚙ Parámetros'!E17))),1)),0)</f>
        <v>1</v>
      </c>
      <c r="AE61" s="80">
        <f>IFERROR((30/100*MAX('⚙ Parámetros'!D18/(1+2^(-'⚙ Parámetros'!C18*(R61-'⚙ Parámetros'!B18))),'⚙ Parámetros'!G18/(1+2^(-'⚙ Parámetros'!F18*(R61-'⚙ Parámetros'!E18))),1)*R61+30/100*MAX('⚙ Parámetros'!D18/(1+2^(-'⚙ Parámetros'!C18*(S61-'⚙ Parámetros'!B18))),'⚙ Parámetros'!G18/(1+2^(-'⚙ Parámetros'!F18*(S61-'⚙ Parámetros'!E18))),1)*S61+20/100*MAX('⚙ Parámetros'!D18/(1+2^(-'⚙ Parámetros'!C18*(T61-'⚙ Parámetros'!B18))),'⚙ Parámetros'!G18/(1+2^(-'⚙ Parámetros'!F18*(T61-'⚙ Parámetros'!E18))),1)*T61+20/100*MAX('⚙ Parámetros'!D18/(1+2^(-'⚙ Parámetros'!C18*(U61-'⚙ Parámetros'!B18))),'⚙ Parámetros'!G18/(1+2^(-'⚙ Parámetros'!F18*(U61-'⚙ Parámetros'!E18))),1)*U61)/(30/100*MAX('⚙ Parámetros'!D18/(1+2^(-'⚙ Parámetros'!C18*(R61-'⚙ Parámetros'!B18))),'⚙ Parámetros'!G18/(1+2^(-'⚙ Parámetros'!F18*(R61-'⚙ Parámetros'!E18))),1)+30/100*MAX('⚙ Parámetros'!D18/(1+2^(-'⚙ Parámetros'!C18*(S61-'⚙ Parámetros'!B18))),'⚙ Parámetros'!G18/(1+2^(-'⚙ Parámetros'!F18*(S61-'⚙ Parámetros'!E18))),1)+20/100*MAX('⚙ Parámetros'!D18/(1+2^(-'⚙ Parámetros'!C18*(T61-'⚙ Parámetros'!B18))),'⚙ Parámetros'!G18/(1+2^(-'⚙ Parámetros'!F18*(T61-'⚙ Parámetros'!E18))),1)+20/100*MAX('⚙ Parámetros'!D18/(1+2^(-'⚙ Parámetros'!C18*(U61-'⚙ Parámetros'!B18))),'⚙ Parámetros'!G18/(1+2^(-'⚙ Parámetros'!F18*(U61-'⚙ Parámetros'!E18))),1)),0)</f>
        <v>8.1801060365339655</v>
      </c>
      <c r="AF61" s="80">
        <f>IFERROR((30/100*MAX('⚙ Parámetros'!D19/(1+2^(-'⚙ Parámetros'!C19*(V61-'⚙ Parámetros'!B19))),'⚙ Parámetros'!G19/(1+2^(-'⚙ Parámetros'!F19*(V61-'⚙ Parámetros'!E19))),1)*V61+35/100*MAX('⚙ Parámetros'!D19/(1+2^(-'⚙ Parámetros'!C19*(W61-'⚙ Parámetros'!B19))),'⚙ Parámetros'!G19/(1+2^(-'⚙ Parámetros'!F19*(W61-'⚙ Parámetros'!E19))),1)*W61+35/100*MAX('⚙ Parámetros'!D19/(1+2^(-'⚙ Parámetros'!C19*(X61-'⚙ Parámetros'!B19))),'⚙ Parámetros'!G19/(1+2^(-'⚙ Parámetros'!F19*(X61-'⚙ Parámetros'!E19))),1)*X61)/(30/100*MAX('⚙ Parámetros'!D19/(1+2^(-'⚙ Parámetros'!C19*(V61-'⚙ Parámetros'!B19))),'⚙ Parámetros'!G19/(1+2^(-'⚙ Parámetros'!F19*(V61-'⚙ Parámetros'!E19))),1)+35/100*MAX('⚙ Parámetros'!D19/(1+2^(-'⚙ Parámetros'!C19*(W61-'⚙ Parámetros'!B19))),'⚙ Parámetros'!G19/(1+2^(-'⚙ Parámetros'!F19*(W61-'⚙ Parámetros'!E19))),1)+35/100*MAX('⚙ Parámetros'!D19/(1+2^(-'⚙ Parámetros'!C19*(X61-'⚙ Parámetros'!B19))),'⚙ Parámetros'!G19/(1+2^(-'⚙ Parámetros'!F19*(X61-'⚙ Parámetros'!E19))),1)),0)</f>
        <v>8.0351483057098907</v>
      </c>
      <c r="AG61" s="80">
        <f>IFERROR((35/100*MAX('⚙ Parámetros'!D20/(1+2^(-'⚙ Parámetros'!C20*(Y61-'⚙ Parámetros'!B20))),'⚙ Parámetros'!G20/(1+2^(-'⚙ Parámetros'!F20*(Y61-'⚙ Parámetros'!E20))),1)*Y61+35/100*MAX('⚙ Parámetros'!D20/(1+2^(-'⚙ Parámetros'!C20*(Z61-'⚙ Parámetros'!B20))),'⚙ Parámetros'!G20/(1+2^(-'⚙ Parámetros'!F20*(Z61-'⚙ Parámetros'!E20))),1)*Z61+30/100*MAX('⚙ Parámetros'!D20/(1+2^(-'⚙ Parámetros'!C20*(AA61-'⚙ Parámetros'!B20))),'⚙ Parámetros'!G20/(1+2^(-'⚙ Parámetros'!F20*(AA61-'⚙ Parámetros'!E20))),1)*AA61)/(35/100*MAX('⚙ Parámetros'!D20/(1+2^(-'⚙ Parámetros'!C20*(Y61-'⚙ Parámetros'!B20))),'⚙ Parámetros'!G20/(1+2^(-'⚙ Parámetros'!F20*(Y61-'⚙ Parámetros'!E20))),1)+35/100*MAX('⚙ Parámetros'!D20/(1+2^(-'⚙ Parámetros'!C20*(Z61-'⚙ Parámetros'!B20))),'⚙ Parámetros'!G20/(1+2^(-'⚙ Parámetros'!F20*(Z61-'⚙ Parámetros'!E20))),1)+30/100*MAX('⚙ Parámetros'!D20/(1+2^(-'⚙ Parámetros'!C20*(AA61-'⚙ Parámetros'!B20))),'⚙ Parámetros'!G20/(1+2^(-'⚙ Parámetros'!F20*(AA61-'⚙ Parámetros'!E20))),1)),0)</f>
        <v>7.7358490566037741</v>
      </c>
      <c r="AH61" s="81">
        <f>('⚙ Parámetros'!B5/100*AB61+'⚙ Parámetros'!B6/100*AC61+'⚙ Parámetros'!B7/100*AD61+'⚙ Parámetros'!B8/100*AE61+'⚙ Parámetros'!B9/100*AF61+'⚙ Parámetros'!B10/100*AG61)</f>
        <v>4.2360343144348231</v>
      </c>
      <c r="AI61" s="33">
        <f ca="1">MIN(1+MAX(0,TODAY()-DATE(2026,3,18))/365*'⚙ Parámetros'!B33,'⚙ Parámetros'!B34)</f>
        <v>1.0353424657534247</v>
      </c>
      <c r="AJ61" s="82">
        <f t="shared" ca="1" si="2"/>
        <v>4.3857462121230677</v>
      </c>
      <c r="AK61" s="83" t="str">
        <f ca="1">IF(AB61&gt;='⚙ Parámetros'!B23,"⚑ AUTO-PRIOR.(D1≥8)",IF(AJ61&gt;='⚙ Parámetros'!B23,"PRIORITARIO",IF(AJ61&gt;='⚙ Parámetros'!B24,"ALTA PRIORIDAD",IF(AJ61&gt;='⚙ Parámetros'!B25,"PRIORIDAD MEDIA",IF(AJ61&gt;='⚙ Parámetros'!B26,"BAJA PRIORIDAD","DESCARTAR")))))</f>
        <v>BAJA PRIORIDAD</v>
      </c>
      <c r="AL61" s="84" t="str">
        <f t="shared" si="3"/>
        <v>—</v>
      </c>
      <c r="AM61" s="85">
        <v>24</v>
      </c>
      <c r="AN61" s="83" t="str">
        <f>IF(AM61="","—",IF(AM61&lt;'⚙ Parámetros'!B29,"🟢 Corto",IF(AM61&lt;'⚙ Parámetros'!B30,"🟡 Medio","🔴 Largo")))</f>
        <v>🟢 Corto</v>
      </c>
    </row>
    <row r="62" spans="1:40" ht="18.75" customHeight="1" x14ac:dyDescent="0.25">
      <c r="A62" s="69">
        <v>58</v>
      </c>
      <c r="B62" s="30" t="s">
        <v>254</v>
      </c>
      <c r="C62" s="26" t="s">
        <v>135</v>
      </c>
      <c r="D62" s="71" t="s">
        <v>136</v>
      </c>
      <c r="E62" s="72" t="s">
        <v>255</v>
      </c>
      <c r="F62" s="74">
        <v>1</v>
      </c>
      <c r="G62" s="74">
        <v>1</v>
      </c>
      <c r="H62" s="86">
        <v>5</v>
      </c>
      <c r="I62" s="74">
        <v>1</v>
      </c>
      <c r="J62" s="74">
        <v>1</v>
      </c>
      <c r="K62" s="74">
        <v>1</v>
      </c>
      <c r="L62" s="74">
        <v>1</v>
      </c>
      <c r="M62" s="86">
        <v>3</v>
      </c>
      <c r="N62" s="86">
        <v>7</v>
      </c>
      <c r="O62" s="74">
        <v>1</v>
      </c>
      <c r="P62" s="86">
        <v>7</v>
      </c>
      <c r="Q62" s="86">
        <v>6</v>
      </c>
      <c r="R62" s="76">
        <v>9</v>
      </c>
      <c r="S62" s="76">
        <v>9</v>
      </c>
      <c r="T62" s="86">
        <v>5</v>
      </c>
      <c r="U62" s="86">
        <v>5</v>
      </c>
      <c r="V62" s="77">
        <v>8</v>
      </c>
      <c r="W62" s="86">
        <v>6</v>
      </c>
      <c r="X62" s="77">
        <v>9</v>
      </c>
      <c r="Y62" s="86">
        <v>4</v>
      </c>
      <c r="Z62" s="74">
        <v>2</v>
      </c>
      <c r="AA62" s="86">
        <v>5</v>
      </c>
      <c r="AB62" s="89">
        <f>IFERROR((30/100*MAX('⚙ Parámetros'!D15/(1+2^(-'⚙ Parámetros'!C15*(F62-'⚙ Parámetros'!B15))),'⚙ Parámetros'!G15/(1+2^(-'⚙ Parámetros'!F15*(F62-'⚙ Parámetros'!E15))),1)*F62+30/100*MAX('⚙ Parámetros'!D15/(1+2^(-'⚙ Parámetros'!C15*(G62-'⚙ Parámetros'!B15))),'⚙ Parámetros'!G15/(1+2^(-'⚙ Parámetros'!F15*(G62-'⚙ Parámetros'!E15))),1)*G62+20/100*MAX('⚙ Parámetros'!D15/(1+2^(-'⚙ Parámetros'!C15*(H62-'⚙ Parámetros'!B15))),'⚙ Parámetros'!G15/(1+2^(-'⚙ Parámetros'!F15*(H62-'⚙ Parámetros'!E15))),1)*H62+20/100*MAX('⚙ Parámetros'!D15/(1+2^(-'⚙ Parámetros'!C15*(I62-'⚙ Parámetros'!B15))),'⚙ Parámetros'!G15/(1+2^(-'⚙ Parámetros'!F15*(I62-'⚙ Parámetros'!E15))),1)*I62)/(30/100*MAX('⚙ Parámetros'!D15/(1+2^(-'⚙ Parámetros'!C15*(F62-'⚙ Parámetros'!B15))),'⚙ Parámetros'!G15/(1+2^(-'⚙ Parámetros'!F15*(F62-'⚙ Parámetros'!E15))),1)+30/100*MAX('⚙ Parámetros'!D15/(1+2^(-'⚙ Parámetros'!C15*(G62-'⚙ Parámetros'!B15))),'⚙ Parámetros'!G15/(1+2^(-'⚙ Parámetros'!F15*(G62-'⚙ Parámetros'!E15))),1)+20/100*MAX('⚙ Parámetros'!D15/(1+2^(-'⚙ Parámetros'!C15*(H62-'⚙ Parámetros'!B15))),'⚙ Parámetros'!G15/(1+2^(-'⚙ Parámetros'!F15*(H62-'⚙ Parámetros'!E15))),1)+20/100*MAX('⚙ Parámetros'!D15/(1+2^(-'⚙ Parámetros'!C15*(I62-'⚙ Parámetros'!B15))),'⚙ Parámetros'!G15/(1+2^(-'⚙ Parámetros'!F15*(I62-'⚙ Parámetros'!E15))),1)),0)</f>
        <v>2.1428571428571428</v>
      </c>
      <c r="AC62" s="89">
        <f>IFERROR((35/100*MAX('⚙ Parámetros'!D16/(1+2^(-'⚙ Parámetros'!C16*(J62-'⚙ Parámetros'!B16))),'⚙ Parámetros'!G16/(1+2^(-'⚙ Parámetros'!F16*(J62-'⚙ Parámetros'!E16))),1)*J62+25/100*MAX('⚙ Parámetros'!D16/(1+2^(-'⚙ Parámetros'!C16*(K62-'⚙ Parámetros'!B16))),'⚙ Parámetros'!G16/(1+2^(-'⚙ Parámetros'!F16*(K62-'⚙ Parámetros'!E16))),1)*K62+20/100*MAX('⚙ Parámetros'!D16/(1+2^(-'⚙ Parámetros'!C16*(L62-'⚙ Parámetros'!B16))),'⚙ Parámetros'!G16/(1+2^(-'⚙ Parámetros'!F16*(L62-'⚙ Parámetros'!E16))),1)*L62+20/100*MAX('⚙ Parámetros'!D16/(1+2^(-'⚙ Parámetros'!C16*(M62-'⚙ Parámetros'!B16))),'⚙ Parámetros'!G16/(1+2^(-'⚙ Parámetros'!F16*(M62-'⚙ Parámetros'!E16))),1)*M62)/(35/100*MAX('⚙ Parámetros'!D16/(1+2^(-'⚙ Parámetros'!C16*(J62-'⚙ Parámetros'!B16))),'⚙ Parámetros'!G16/(1+2^(-'⚙ Parámetros'!F16*(J62-'⚙ Parámetros'!E16))),1)+25/100*MAX('⚙ Parámetros'!D16/(1+2^(-'⚙ Parámetros'!C16*(K62-'⚙ Parámetros'!B16))),'⚙ Parámetros'!G16/(1+2^(-'⚙ Parámetros'!F16*(K62-'⚙ Parámetros'!E16))),1)+20/100*MAX('⚙ Parámetros'!D16/(1+2^(-'⚙ Parámetros'!C16*(L62-'⚙ Parámetros'!B16))),'⚙ Parámetros'!G16/(1+2^(-'⚙ Parámetros'!F16*(L62-'⚙ Parámetros'!E16))),1)+20/100*MAX('⚙ Parámetros'!D16/(1+2^(-'⚙ Parámetros'!C16*(M62-'⚙ Parámetros'!B16))),'⚙ Parámetros'!G16/(1+2^(-'⚙ Parámetros'!F16*(M62-'⚙ Parámetros'!E16))),1)),0)</f>
        <v>1.4000000000000001</v>
      </c>
      <c r="AD62" s="89">
        <f>IFERROR((30/100*MAX('⚙ Parámetros'!D17/(1+2^(-'⚙ Parámetros'!C17*(N62-'⚙ Parámetros'!B17))),'⚙ Parámetros'!G17/(1+2^(-'⚙ Parámetros'!F17*(N62-'⚙ Parámetros'!E17))),1)*N62+25/100*MAX('⚙ Parámetros'!D17/(1+2^(-'⚙ Parámetros'!C17*(O62-'⚙ Parámetros'!B17))),'⚙ Parámetros'!G17/(1+2^(-'⚙ Parámetros'!F17*(O62-'⚙ Parámetros'!E17))),1)*O62+25/100*MAX('⚙ Parámetros'!D17/(1+2^(-'⚙ Parámetros'!C17*(P62-'⚙ Parámetros'!B17))),'⚙ Parámetros'!G17/(1+2^(-'⚙ Parámetros'!F17*(P62-'⚙ Parámetros'!E17))),1)*P62+20/100*MAX('⚙ Parámetros'!D17/(1+2^(-'⚙ Parámetros'!C17*(Q62-'⚙ Parámetros'!B17))),'⚙ Parámetros'!G17/(1+2^(-'⚙ Parámetros'!F17*(Q62-'⚙ Parámetros'!E17))),1)*Q62)/(30/100*MAX('⚙ Parámetros'!D17/(1+2^(-'⚙ Parámetros'!C17*(N62-'⚙ Parámetros'!B17))),'⚙ Parámetros'!G17/(1+2^(-'⚙ Parámetros'!F17*(N62-'⚙ Parámetros'!E17))),1)+25/100*MAX('⚙ Parámetros'!D17/(1+2^(-'⚙ Parámetros'!C17*(O62-'⚙ Parámetros'!B17))),'⚙ Parámetros'!G17/(1+2^(-'⚙ Parámetros'!F17*(O62-'⚙ Parámetros'!E17))),1)+25/100*MAX('⚙ Parámetros'!D17/(1+2^(-'⚙ Parámetros'!C17*(P62-'⚙ Parámetros'!B17))),'⚙ Parámetros'!G17/(1+2^(-'⚙ Parámetros'!F17*(P62-'⚙ Parámetros'!E17))),1)+20/100*MAX('⚙ Parámetros'!D17/(1+2^(-'⚙ Parámetros'!C17*(Q62-'⚙ Parámetros'!B17))),'⚙ Parámetros'!G17/(1+2^(-'⚙ Parámetros'!F17*(Q62-'⚙ Parámetros'!E17))),1)),0)</f>
        <v>6.0986342943854321</v>
      </c>
      <c r="AE62" s="89">
        <f>IFERROR((30/100*MAX('⚙ Parámetros'!D18/(1+2^(-'⚙ Parámetros'!C18*(R62-'⚙ Parámetros'!B18))),'⚙ Parámetros'!G18/(1+2^(-'⚙ Parámetros'!F18*(R62-'⚙ Parámetros'!E18))),1)*R62+30/100*MAX('⚙ Parámetros'!D18/(1+2^(-'⚙ Parámetros'!C18*(S62-'⚙ Parámetros'!B18))),'⚙ Parámetros'!G18/(1+2^(-'⚙ Parámetros'!F18*(S62-'⚙ Parámetros'!E18))),1)*S62+20/100*MAX('⚙ Parámetros'!D18/(1+2^(-'⚙ Parámetros'!C18*(T62-'⚙ Parámetros'!B18))),'⚙ Parámetros'!G18/(1+2^(-'⚙ Parámetros'!F18*(T62-'⚙ Parámetros'!E18))),1)*T62+20/100*MAX('⚙ Parámetros'!D18/(1+2^(-'⚙ Parámetros'!C18*(U62-'⚙ Parámetros'!B18))),'⚙ Parámetros'!G18/(1+2^(-'⚙ Parámetros'!F18*(U62-'⚙ Parámetros'!E18))),1)*U62)/(30/100*MAX('⚙ Parámetros'!D18/(1+2^(-'⚙ Parámetros'!C18*(R62-'⚙ Parámetros'!B18))),'⚙ Parámetros'!G18/(1+2^(-'⚙ Parámetros'!F18*(R62-'⚙ Parámetros'!E18))),1)+30/100*MAX('⚙ Parámetros'!D18/(1+2^(-'⚙ Parámetros'!C18*(S62-'⚙ Parámetros'!B18))),'⚙ Parámetros'!G18/(1+2^(-'⚙ Parámetros'!F18*(S62-'⚙ Parámetros'!E18))),1)+20/100*MAX('⚙ Parámetros'!D18/(1+2^(-'⚙ Parámetros'!C18*(T62-'⚙ Parámetros'!B18))),'⚙ Parámetros'!G18/(1+2^(-'⚙ Parámetros'!F18*(T62-'⚙ Parámetros'!E18))),1)+20/100*MAX('⚙ Parámetros'!D18/(1+2^(-'⚙ Parámetros'!C18*(U62-'⚙ Parámetros'!B18))),'⚙ Parámetros'!G18/(1+2^(-'⚙ Parámetros'!F18*(U62-'⚙ Parámetros'!E18))),1)),0)</f>
        <v>8.1801060365339655</v>
      </c>
      <c r="AF62" s="89">
        <f>IFERROR((30/100*MAX('⚙ Parámetros'!D19/(1+2^(-'⚙ Parámetros'!C19*(V62-'⚙ Parámetros'!B19))),'⚙ Parámetros'!G19/(1+2^(-'⚙ Parámetros'!F19*(V62-'⚙ Parámetros'!E19))),1)*V62+35/100*MAX('⚙ Parámetros'!D19/(1+2^(-'⚙ Parámetros'!C19*(W62-'⚙ Parámetros'!B19))),'⚙ Parámetros'!G19/(1+2^(-'⚙ Parámetros'!F19*(W62-'⚙ Parámetros'!E19))),1)*W62+35/100*MAX('⚙ Parámetros'!D19/(1+2^(-'⚙ Parámetros'!C19*(X62-'⚙ Parámetros'!B19))),'⚙ Parámetros'!G19/(1+2^(-'⚙ Parámetros'!F19*(X62-'⚙ Parámetros'!E19))),1)*X62)/(30/100*MAX('⚙ Parámetros'!D19/(1+2^(-'⚙ Parámetros'!C19*(V62-'⚙ Parámetros'!B19))),'⚙ Parámetros'!G19/(1+2^(-'⚙ Parámetros'!F19*(V62-'⚙ Parámetros'!E19))),1)+35/100*MAX('⚙ Parámetros'!D19/(1+2^(-'⚙ Parámetros'!C19*(W62-'⚙ Parámetros'!B19))),'⚙ Parámetros'!G19/(1+2^(-'⚙ Parámetros'!F19*(W62-'⚙ Parámetros'!E19))),1)+35/100*MAX('⚙ Parámetros'!D19/(1+2^(-'⚙ Parámetros'!C19*(X62-'⚙ Parámetros'!B19))),'⚙ Parámetros'!G19/(1+2^(-'⚙ Parámetros'!F19*(X62-'⚙ Parámetros'!E19))),1)),0)</f>
        <v>8.0351483057098907</v>
      </c>
      <c r="AG62" s="89">
        <f>IFERROR((35/100*MAX('⚙ Parámetros'!D20/(1+2^(-'⚙ Parámetros'!C20*(Y62-'⚙ Parámetros'!B20))),'⚙ Parámetros'!G20/(1+2^(-'⚙ Parámetros'!F20*(Y62-'⚙ Parámetros'!E20))),1)*Y62+35/100*MAX('⚙ Parámetros'!D20/(1+2^(-'⚙ Parámetros'!C20*(Z62-'⚙ Parámetros'!B20))),'⚙ Parámetros'!G20/(1+2^(-'⚙ Parámetros'!F20*(Z62-'⚙ Parámetros'!E20))),1)*Z62+30/100*MAX('⚙ Parámetros'!D20/(1+2^(-'⚙ Parámetros'!C20*(AA62-'⚙ Parámetros'!B20))),'⚙ Parámetros'!G20/(1+2^(-'⚙ Parámetros'!F20*(AA62-'⚙ Parámetros'!E20))),1)*AA62)/(35/100*MAX('⚙ Parámetros'!D20/(1+2^(-'⚙ Parámetros'!C20*(Y62-'⚙ Parámetros'!B20))),'⚙ Parámetros'!G20/(1+2^(-'⚙ Parámetros'!F20*(Y62-'⚙ Parámetros'!E20))),1)+35/100*MAX('⚙ Parámetros'!D20/(1+2^(-'⚙ Parámetros'!C20*(Z62-'⚙ Parámetros'!B20))),'⚙ Parámetros'!G20/(1+2^(-'⚙ Parámetros'!F20*(Z62-'⚙ Parámetros'!E20))),1)+30/100*MAX('⚙ Parámetros'!D20/(1+2^(-'⚙ Parámetros'!C20*(AA62-'⚙ Parámetros'!B20))),'⚙ Parámetros'!G20/(1+2^(-'⚙ Parámetros'!F20*(AA62-'⚙ Parámetros'!E20))),1)),0)</f>
        <v>3.7272727272727275</v>
      </c>
      <c r="AH62" s="90">
        <f>('⚙ Parámetros'!B5/100*AB62+'⚙ Parámetros'!B6/100*AC62+'⚙ Parámetros'!B7/100*AD62+'⚙ Parámetros'!B8/100*AE62+'⚙ Parámetros'!B9/100*AF62+'⚙ Parámetros'!B10/100*AG62)</f>
        <v>4.2258933748711121</v>
      </c>
      <c r="AI62" s="91">
        <f ca="1">MIN(1+MAX(0,TODAY()-DATE(2025,9,9))/365*'⚙ Parámetros'!B33,'⚙ Parámetros'!B34)</f>
        <v>1.1134246575342466</v>
      </c>
      <c r="AJ62" s="82">
        <f t="shared" ca="1" si="2"/>
        <v>4.7052138836921094</v>
      </c>
      <c r="AK62" s="92" t="str">
        <f ca="1">IF(AB62&gt;='⚙ Parámetros'!B23,"⚑ AUTO-PRIOR.(D1≥8)",IF(AJ62&gt;='⚙ Parámetros'!B23,"PRIORITARIO",IF(AJ62&gt;='⚙ Parámetros'!B24,"ALTA PRIORIDAD",IF(AJ62&gt;='⚙ Parámetros'!B25,"PRIORIDAD MEDIA",IF(AJ62&gt;='⚙ Parámetros'!B26,"BAJA PRIORIDAD","DESCARTAR")))))</f>
        <v>BAJA PRIORIDAD</v>
      </c>
      <c r="AL62" s="69" t="str">
        <f t="shared" si="3"/>
        <v>—</v>
      </c>
      <c r="AM62" s="85">
        <v>41</v>
      </c>
      <c r="AN62" s="83" t="str">
        <f>IF(AM62="","—",IF(AM62&lt;'⚙ Parámetros'!B29,"🟢 Corto",IF(AM62&lt;'⚙ Parámetros'!B30,"🟡 Medio","🔴 Largo")))</f>
        <v>🟡 Medio</v>
      </c>
    </row>
    <row r="63" spans="1:40" ht="18.75" customHeight="1" x14ac:dyDescent="0.25">
      <c r="A63" s="69">
        <v>59</v>
      </c>
      <c r="B63" s="70" t="s">
        <v>256</v>
      </c>
      <c r="C63" s="4" t="s">
        <v>182</v>
      </c>
      <c r="D63" s="71" t="s">
        <v>136</v>
      </c>
      <c r="E63" s="72" t="s">
        <v>212</v>
      </c>
      <c r="F63" s="73">
        <v>6</v>
      </c>
      <c r="G63" s="73">
        <v>5</v>
      </c>
      <c r="H63" s="74">
        <v>1</v>
      </c>
      <c r="I63" s="74">
        <v>1</v>
      </c>
      <c r="J63" s="74">
        <v>1</v>
      </c>
      <c r="K63" s="74">
        <v>1</v>
      </c>
      <c r="L63" s="74">
        <v>1</v>
      </c>
      <c r="M63" s="73">
        <v>3</v>
      </c>
      <c r="N63" s="74">
        <v>1</v>
      </c>
      <c r="O63" s="74">
        <v>1</v>
      </c>
      <c r="P63" s="74">
        <v>1</v>
      </c>
      <c r="Q63" s="87">
        <v>8</v>
      </c>
      <c r="R63" s="76">
        <v>9</v>
      </c>
      <c r="S63" s="76">
        <v>9</v>
      </c>
      <c r="T63" s="73">
        <v>5</v>
      </c>
      <c r="U63" s="73">
        <v>5</v>
      </c>
      <c r="V63" s="73">
        <v>5</v>
      </c>
      <c r="W63" s="73">
        <v>4</v>
      </c>
      <c r="X63" s="73">
        <v>5</v>
      </c>
      <c r="Y63" s="73">
        <v>4</v>
      </c>
      <c r="Z63" s="74">
        <v>2</v>
      </c>
      <c r="AA63" s="73">
        <v>5</v>
      </c>
      <c r="AB63" s="80">
        <f>IFERROR((30/100*MAX('⚙ Parámetros'!D15/(1+2^(-'⚙ Parámetros'!C15*(F63-'⚙ Parámetros'!B15))),'⚙ Parámetros'!G15/(1+2^(-'⚙ Parámetros'!F15*(F63-'⚙ Parámetros'!E15))),1)*F63+30/100*MAX('⚙ Parámetros'!D15/(1+2^(-'⚙ Parámetros'!C15*(G63-'⚙ Parámetros'!B15))),'⚙ Parámetros'!G15/(1+2^(-'⚙ Parámetros'!F15*(G63-'⚙ Parámetros'!E15))),1)*G63+20/100*MAX('⚙ Parámetros'!D15/(1+2^(-'⚙ Parámetros'!C15*(H63-'⚙ Parámetros'!B15))),'⚙ Parámetros'!G15/(1+2^(-'⚙ Parámetros'!F15*(H63-'⚙ Parámetros'!E15))),1)*H63+20/100*MAX('⚙ Parámetros'!D15/(1+2^(-'⚙ Parámetros'!C15*(I63-'⚙ Parámetros'!B15))),'⚙ Parámetros'!G15/(1+2^(-'⚙ Parámetros'!F15*(I63-'⚙ Parámetros'!E15))),1)*I63)/(30/100*MAX('⚙ Parámetros'!D15/(1+2^(-'⚙ Parámetros'!C15*(F63-'⚙ Parámetros'!B15))),'⚙ Parámetros'!G15/(1+2^(-'⚙ Parámetros'!F15*(F63-'⚙ Parámetros'!E15))),1)+30/100*MAX('⚙ Parámetros'!D15/(1+2^(-'⚙ Parámetros'!C15*(G63-'⚙ Parámetros'!B15))),'⚙ Parámetros'!G15/(1+2^(-'⚙ Parámetros'!F15*(G63-'⚙ Parámetros'!E15))),1)+20/100*MAX('⚙ Parámetros'!D15/(1+2^(-'⚙ Parámetros'!C15*(H63-'⚙ Parámetros'!B15))),'⚙ Parámetros'!G15/(1+2^(-'⚙ Parámetros'!F15*(H63-'⚙ Parámetros'!E15))),1)+20/100*MAX('⚙ Parámetros'!D15/(1+2^(-'⚙ Parámetros'!C15*(I63-'⚙ Parámetros'!B15))),'⚙ Parámetros'!G15/(1+2^(-'⚙ Parámetros'!F15*(I63-'⚙ Parámetros'!E15))),1)),0)</f>
        <v>4.2535211267605639</v>
      </c>
      <c r="AC63" s="80">
        <f>IFERROR((35/100*MAX('⚙ Parámetros'!D16/(1+2^(-'⚙ Parámetros'!C16*(J63-'⚙ Parámetros'!B16))),'⚙ Parámetros'!G16/(1+2^(-'⚙ Parámetros'!F16*(J63-'⚙ Parámetros'!E16))),1)*J63+25/100*MAX('⚙ Parámetros'!D16/(1+2^(-'⚙ Parámetros'!C16*(K63-'⚙ Parámetros'!B16))),'⚙ Parámetros'!G16/(1+2^(-'⚙ Parámetros'!F16*(K63-'⚙ Parámetros'!E16))),1)*K63+20/100*MAX('⚙ Parámetros'!D16/(1+2^(-'⚙ Parámetros'!C16*(L63-'⚙ Parámetros'!B16))),'⚙ Parámetros'!G16/(1+2^(-'⚙ Parámetros'!F16*(L63-'⚙ Parámetros'!E16))),1)*L63+20/100*MAX('⚙ Parámetros'!D16/(1+2^(-'⚙ Parámetros'!C16*(M63-'⚙ Parámetros'!B16))),'⚙ Parámetros'!G16/(1+2^(-'⚙ Parámetros'!F16*(M63-'⚙ Parámetros'!E16))),1)*M63)/(35/100*MAX('⚙ Parámetros'!D16/(1+2^(-'⚙ Parámetros'!C16*(J63-'⚙ Parámetros'!B16))),'⚙ Parámetros'!G16/(1+2^(-'⚙ Parámetros'!F16*(J63-'⚙ Parámetros'!E16))),1)+25/100*MAX('⚙ Parámetros'!D16/(1+2^(-'⚙ Parámetros'!C16*(K63-'⚙ Parámetros'!B16))),'⚙ Parámetros'!G16/(1+2^(-'⚙ Parámetros'!F16*(K63-'⚙ Parámetros'!E16))),1)+20/100*MAX('⚙ Parámetros'!D16/(1+2^(-'⚙ Parámetros'!C16*(L63-'⚙ Parámetros'!B16))),'⚙ Parámetros'!G16/(1+2^(-'⚙ Parámetros'!F16*(L63-'⚙ Parámetros'!E16))),1)+20/100*MAX('⚙ Parámetros'!D16/(1+2^(-'⚙ Parámetros'!C16*(M63-'⚙ Parámetros'!B16))),'⚙ Parámetros'!G16/(1+2^(-'⚙ Parámetros'!F16*(M63-'⚙ Parámetros'!E16))),1)),0)</f>
        <v>1.4000000000000001</v>
      </c>
      <c r="AD63" s="80">
        <f>IFERROR((30/100*MAX('⚙ Parámetros'!D17/(1+2^(-'⚙ Parámetros'!C17*(N63-'⚙ Parámetros'!B17))),'⚙ Parámetros'!G17/(1+2^(-'⚙ Parámetros'!F17*(N63-'⚙ Parámetros'!E17))),1)*N63+25/100*MAX('⚙ Parámetros'!D17/(1+2^(-'⚙ Parámetros'!C17*(O63-'⚙ Parámetros'!B17))),'⚙ Parámetros'!G17/(1+2^(-'⚙ Parámetros'!F17*(O63-'⚙ Parámetros'!E17))),1)*O63+25/100*MAX('⚙ Parámetros'!D17/(1+2^(-'⚙ Parámetros'!C17*(P63-'⚙ Parámetros'!B17))),'⚙ Parámetros'!G17/(1+2^(-'⚙ Parámetros'!F17*(P63-'⚙ Parámetros'!E17))),1)*P63+20/100*MAX('⚙ Parámetros'!D17/(1+2^(-'⚙ Parámetros'!C17*(Q63-'⚙ Parámetros'!B17))),'⚙ Parámetros'!G17/(1+2^(-'⚙ Parámetros'!F17*(Q63-'⚙ Parámetros'!E17))),1)*Q63)/(30/100*MAX('⚙ Parámetros'!D17/(1+2^(-'⚙ Parámetros'!C17*(N63-'⚙ Parámetros'!B17))),'⚙ Parámetros'!G17/(1+2^(-'⚙ Parámetros'!F17*(N63-'⚙ Parámetros'!E17))),1)+25/100*MAX('⚙ Parámetros'!D17/(1+2^(-'⚙ Parámetros'!C17*(O63-'⚙ Parámetros'!B17))),'⚙ Parámetros'!G17/(1+2^(-'⚙ Parámetros'!F17*(O63-'⚙ Parámetros'!E17))),1)+25/100*MAX('⚙ Parámetros'!D17/(1+2^(-'⚙ Parámetros'!C17*(P63-'⚙ Parámetros'!B17))),'⚙ Parámetros'!G17/(1+2^(-'⚙ Parámetros'!F17*(P63-'⚙ Parámetros'!E17))),1)+20/100*MAX('⚙ Parámetros'!D17/(1+2^(-'⚙ Parámetros'!C17*(Q63-'⚙ Parámetros'!B17))),'⚙ Parámetros'!G17/(1+2^(-'⚙ Parámetros'!F17*(Q63-'⚙ Parámetros'!E17))),1)),0)</f>
        <v>4.5</v>
      </c>
      <c r="AE63" s="80">
        <f>IFERROR((30/100*MAX('⚙ Parámetros'!D18/(1+2^(-'⚙ Parámetros'!C18*(R63-'⚙ Parámetros'!B18))),'⚙ Parámetros'!G18/(1+2^(-'⚙ Parámetros'!F18*(R63-'⚙ Parámetros'!E18))),1)*R63+30/100*MAX('⚙ Parámetros'!D18/(1+2^(-'⚙ Parámetros'!C18*(S63-'⚙ Parámetros'!B18))),'⚙ Parámetros'!G18/(1+2^(-'⚙ Parámetros'!F18*(S63-'⚙ Parámetros'!E18))),1)*S63+20/100*MAX('⚙ Parámetros'!D18/(1+2^(-'⚙ Parámetros'!C18*(T63-'⚙ Parámetros'!B18))),'⚙ Parámetros'!G18/(1+2^(-'⚙ Parámetros'!F18*(T63-'⚙ Parámetros'!E18))),1)*T63+20/100*MAX('⚙ Parámetros'!D18/(1+2^(-'⚙ Parámetros'!C18*(U63-'⚙ Parámetros'!B18))),'⚙ Parámetros'!G18/(1+2^(-'⚙ Parámetros'!F18*(U63-'⚙ Parámetros'!E18))),1)*U63)/(30/100*MAX('⚙ Parámetros'!D18/(1+2^(-'⚙ Parámetros'!C18*(R63-'⚙ Parámetros'!B18))),'⚙ Parámetros'!G18/(1+2^(-'⚙ Parámetros'!F18*(R63-'⚙ Parámetros'!E18))),1)+30/100*MAX('⚙ Parámetros'!D18/(1+2^(-'⚙ Parámetros'!C18*(S63-'⚙ Parámetros'!B18))),'⚙ Parámetros'!G18/(1+2^(-'⚙ Parámetros'!F18*(S63-'⚙ Parámetros'!E18))),1)+20/100*MAX('⚙ Parámetros'!D18/(1+2^(-'⚙ Parámetros'!C18*(T63-'⚙ Parámetros'!B18))),'⚙ Parámetros'!G18/(1+2^(-'⚙ Parámetros'!F18*(T63-'⚙ Parámetros'!E18))),1)+20/100*MAX('⚙ Parámetros'!D18/(1+2^(-'⚙ Parámetros'!C18*(U63-'⚙ Parámetros'!B18))),'⚙ Parámetros'!G18/(1+2^(-'⚙ Parámetros'!F18*(U63-'⚙ Parámetros'!E18))),1)),0)</f>
        <v>8.1801060365339655</v>
      </c>
      <c r="AF63" s="80">
        <f>IFERROR((30/100*MAX('⚙ Parámetros'!D19/(1+2^(-'⚙ Parámetros'!C19*(V63-'⚙ Parámetros'!B19))),'⚙ Parámetros'!G19/(1+2^(-'⚙ Parámetros'!F19*(V63-'⚙ Parámetros'!E19))),1)*V63+35/100*MAX('⚙ Parámetros'!D19/(1+2^(-'⚙ Parámetros'!C19*(W63-'⚙ Parámetros'!B19))),'⚙ Parámetros'!G19/(1+2^(-'⚙ Parámetros'!F19*(W63-'⚙ Parámetros'!E19))),1)*W63+35/100*MAX('⚙ Parámetros'!D19/(1+2^(-'⚙ Parámetros'!C19*(X63-'⚙ Parámetros'!B19))),'⚙ Parámetros'!G19/(1+2^(-'⚙ Parámetros'!F19*(X63-'⚙ Parámetros'!E19))),1)*X63)/(30/100*MAX('⚙ Parámetros'!D19/(1+2^(-'⚙ Parámetros'!C19*(V63-'⚙ Parámetros'!B19))),'⚙ Parámetros'!G19/(1+2^(-'⚙ Parámetros'!F19*(V63-'⚙ Parámetros'!E19))),1)+35/100*MAX('⚙ Parámetros'!D19/(1+2^(-'⚙ Parámetros'!C19*(W63-'⚙ Parámetros'!B19))),'⚙ Parámetros'!G19/(1+2^(-'⚙ Parámetros'!F19*(W63-'⚙ Parámetros'!E19))),1)+35/100*MAX('⚙ Parámetros'!D19/(1+2^(-'⚙ Parámetros'!C19*(X63-'⚙ Parámetros'!B19))),'⚙ Parámetros'!G19/(1+2^(-'⚙ Parámetros'!F19*(X63-'⚙ Parámetros'!E19))),1)),0)</f>
        <v>4.7123287671232879</v>
      </c>
      <c r="AG63" s="80">
        <f>IFERROR((35/100*MAX('⚙ Parámetros'!D20/(1+2^(-'⚙ Parámetros'!C20*(Y63-'⚙ Parámetros'!B20))),'⚙ Parámetros'!G20/(1+2^(-'⚙ Parámetros'!F20*(Y63-'⚙ Parámetros'!E20))),1)*Y63+35/100*MAX('⚙ Parámetros'!D20/(1+2^(-'⚙ Parámetros'!C20*(Z63-'⚙ Parámetros'!B20))),'⚙ Parámetros'!G20/(1+2^(-'⚙ Parámetros'!F20*(Z63-'⚙ Parámetros'!E20))),1)*Z63+30/100*MAX('⚙ Parámetros'!D20/(1+2^(-'⚙ Parámetros'!C20*(AA63-'⚙ Parámetros'!B20))),'⚙ Parámetros'!G20/(1+2^(-'⚙ Parámetros'!F20*(AA63-'⚙ Parámetros'!E20))),1)*AA63)/(35/100*MAX('⚙ Parámetros'!D20/(1+2^(-'⚙ Parámetros'!C20*(Y63-'⚙ Parámetros'!B20))),'⚙ Parámetros'!G20/(1+2^(-'⚙ Parámetros'!F20*(Y63-'⚙ Parámetros'!E20))),1)+35/100*MAX('⚙ Parámetros'!D20/(1+2^(-'⚙ Parámetros'!C20*(Z63-'⚙ Parámetros'!B20))),'⚙ Parámetros'!G20/(1+2^(-'⚙ Parámetros'!F20*(Z63-'⚙ Parámetros'!E20))),1)+30/100*MAX('⚙ Parámetros'!D20/(1+2^(-'⚙ Parámetros'!C20*(AA63-'⚙ Parámetros'!B20))),'⚙ Parámetros'!G20/(1+2^(-'⚙ Parámetros'!F20*(AA63-'⚙ Parámetros'!E20))),1)),0)</f>
        <v>3.7272727272727275</v>
      </c>
      <c r="AH63" s="81">
        <f>('⚙ Parámetros'!B5/100*AB63+'⚙ Parámetros'!B6/100*AC63+'⚙ Parámetros'!B7/100*AD63+'⚙ Parámetros'!B8/100*AE63+'⚙ Parámetros'!B9/100*AF63+'⚙ Parámetros'!B10/100*AG63)</f>
        <v>4.2070837573063917</v>
      </c>
      <c r="AI63" s="33">
        <f ca="1">MIN(1+MAX(0,TODAY()-DATE(2026,2,4))/365*'⚙ Parámetros'!B33,'⚙ Parámetros'!B34)</f>
        <v>1.0526027397260274</v>
      </c>
      <c r="AJ63" s="82">
        <f t="shared" ca="1" si="2"/>
        <v>4.4283878891975768</v>
      </c>
      <c r="AK63" s="83" t="str">
        <f ca="1">IF(AB63&gt;='⚙ Parámetros'!B23,"⚑ AUTO-PRIOR.(D1≥8)",IF(AJ63&gt;='⚙ Parámetros'!B23,"PRIORITARIO",IF(AJ63&gt;='⚙ Parámetros'!B24,"ALTA PRIORIDAD",IF(AJ63&gt;='⚙ Parámetros'!B25,"PRIORIDAD MEDIA",IF(AJ63&gt;='⚙ Parámetros'!B26,"BAJA PRIORIDAD","DESCARTAR")))))</f>
        <v>BAJA PRIORIDAD</v>
      </c>
      <c r="AL63" s="84" t="str">
        <f t="shared" si="3"/>
        <v>—</v>
      </c>
      <c r="AM63" s="85">
        <v>18</v>
      </c>
      <c r="AN63" s="83" t="str">
        <f>IF(AM63="","—",IF(AM63&lt;'⚙ Parámetros'!B29,"🟢 Corto",IF(AM63&lt;'⚙ Parámetros'!B30,"🟡 Medio","🔴 Largo")))</f>
        <v>🟢 Corto</v>
      </c>
    </row>
    <row r="64" spans="1:40" ht="18.75" customHeight="1" x14ac:dyDescent="0.25">
      <c r="A64" s="69">
        <v>60</v>
      </c>
      <c r="B64" s="30" t="s">
        <v>257</v>
      </c>
      <c r="C64" s="26" t="s">
        <v>138</v>
      </c>
      <c r="D64" s="71" t="s">
        <v>139</v>
      </c>
      <c r="E64" s="72" t="s">
        <v>258</v>
      </c>
      <c r="F64" s="74">
        <v>1</v>
      </c>
      <c r="G64" s="74">
        <v>1</v>
      </c>
      <c r="H64" s="86">
        <v>5</v>
      </c>
      <c r="I64" s="74">
        <v>1</v>
      </c>
      <c r="J64" s="74">
        <v>1</v>
      </c>
      <c r="K64" s="74">
        <v>1</v>
      </c>
      <c r="L64" s="74">
        <v>1</v>
      </c>
      <c r="M64" s="86">
        <v>3</v>
      </c>
      <c r="N64" s="86">
        <v>7</v>
      </c>
      <c r="O64" s="74">
        <v>1</v>
      </c>
      <c r="P64" s="86">
        <v>6</v>
      </c>
      <c r="Q64" s="86">
        <v>6</v>
      </c>
      <c r="R64" s="76">
        <v>9</v>
      </c>
      <c r="S64" s="76">
        <v>9</v>
      </c>
      <c r="T64" s="86">
        <v>5</v>
      </c>
      <c r="U64" s="86">
        <v>5</v>
      </c>
      <c r="V64" s="77">
        <v>8</v>
      </c>
      <c r="W64" s="86">
        <v>6</v>
      </c>
      <c r="X64" s="77">
        <v>9</v>
      </c>
      <c r="Y64" s="86">
        <v>4</v>
      </c>
      <c r="Z64" s="74">
        <v>2</v>
      </c>
      <c r="AA64" s="86">
        <v>5</v>
      </c>
      <c r="AB64" s="89">
        <f>IFERROR((30/100*MAX('⚙ Parámetros'!D15/(1+2^(-'⚙ Parámetros'!C15*(F64-'⚙ Parámetros'!B15))),'⚙ Parámetros'!G15/(1+2^(-'⚙ Parámetros'!F15*(F64-'⚙ Parámetros'!E15))),1)*F64+30/100*MAX('⚙ Parámetros'!D15/(1+2^(-'⚙ Parámetros'!C15*(G64-'⚙ Parámetros'!B15))),'⚙ Parámetros'!G15/(1+2^(-'⚙ Parámetros'!F15*(G64-'⚙ Parámetros'!E15))),1)*G64+20/100*MAX('⚙ Parámetros'!D15/(1+2^(-'⚙ Parámetros'!C15*(H64-'⚙ Parámetros'!B15))),'⚙ Parámetros'!G15/(1+2^(-'⚙ Parámetros'!F15*(H64-'⚙ Parámetros'!E15))),1)*H64+20/100*MAX('⚙ Parámetros'!D15/(1+2^(-'⚙ Parámetros'!C15*(I64-'⚙ Parámetros'!B15))),'⚙ Parámetros'!G15/(1+2^(-'⚙ Parámetros'!F15*(I64-'⚙ Parámetros'!E15))),1)*I64)/(30/100*MAX('⚙ Parámetros'!D15/(1+2^(-'⚙ Parámetros'!C15*(F64-'⚙ Parámetros'!B15))),'⚙ Parámetros'!G15/(1+2^(-'⚙ Parámetros'!F15*(F64-'⚙ Parámetros'!E15))),1)+30/100*MAX('⚙ Parámetros'!D15/(1+2^(-'⚙ Parámetros'!C15*(G64-'⚙ Parámetros'!B15))),'⚙ Parámetros'!G15/(1+2^(-'⚙ Parámetros'!F15*(G64-'⚙ Parámetros'!E15))),1)+20/100*MAX('⚙ Parámetros'!D15/(1+2^(-'⚙ Parámetros'!C15*(H64-'⚙ Parámetros'!B15))),'⚙ Parámetros'!G15/(1+2^(-'⚙ Parámetros'!F15*(H64-'⚙ Parámetros'!E15))),1)+20/100*MAX('⚙ Parámetros'!D15/(1+2^(-'⚙ Parámetros'!C15*(I64-'⚙ Parámetros'!B15))),'⚙ Parámetros'!G15/(1+2^(-'⚙ Parámetros'!F15*(I64-'⚙ Parámetros'!E15))),1)),0)</f>
        <v>2.1428571428571428</v>
      </c>
      <c r="AC64" s="89">
        <f>IFERROR((35/100*MAX('⚙ Parámetros'!D16/(1+2^(-'⚙ Parámetros'!C16*(J64-'⚙ Parámetros'!B16))),'⚙ Parámetros'!G16/(1+2^(-'⚙ Parámetros'!F16*(J64-'⚙ Parámetros'!E16))),1)*J64+25/100*MAX('⚙ Parámetros'!D16/(1+2^(-'⚙ Parámetros'!C16*(K64-'⚙ Parámetros'!B16))),'⚙ Parámetros'!G16/(1+2^(-'⚙ Parámetros'!F16*(K64-'⚙ Parámetros'!E16))),1)*K64+20/100*MAX('⚙ Parámetros'!D16/(1+2^(-'⚙ Parámetros'!C16*(L64-'⚙ Parámetros'!B16))),'⚙ Parámetros'!G16/(1+2^(-'⚙ Parámetros'!F16*(L64-'⚙ Parámetros'!E16))),1)*L64+20/100*MAX('⚙ Parámetros'!D16/(1+2^(-'⚙ Parámetros'!C16*(M64-'⚙ Parámetros'!B16))),'⚙ Parámetros'!G16/(1+2^(-'⚙ Parámetros'!F16*(M64-'⚙ Parámetros'!E16))),1)*M64)/(35/100*MAX('⚙ Parámetros'!D16/(1+2^(-'⚙ Parámetros'!C16*(J64-'⚙ Parámetros'!B16))),'⚙ Parámetros'!G16/(1+2^(-'⚙ Parámetros'!F16*(J64-'⚙ Parámetros'!E16))),1)+25/100*MAX('⚙ Parámetros'!D16/(1+2^(-'⚙ Parámetros'!C16*(K64-'⚙ Parámetros'!B16))),'⚙ Parámetros'!G16/(1+2^(-'⚙ Parámetros'!F16*(K64-'⚙ Parámetros'!E16))),1)+20/100*MAX('⚙ Parámetros'!D16/(1+2^(-'⚙ Parámetros'!C16*(L64-'⚙ Parámetros'!B16))),'⚙ Parámetros'!G16/(1+2^(-'⚙ Parámetros'!F16*(L64-'⚙ Parámetros'!E16))),1)+20/100*MAX('⚙ Parámetros'!D16/(1+2^(-'⚙ Parámetros'!C16*(M64-'⚙ Parámetros'!B16))),'⚙ Parámetros'!G16/(1+2^(-'⚙ Parámetros'!F16*(M64-'⚙ Parámetros'!E16))),1)),0)</f>
        <v>1.4000000000000001</v>
      </c>
      <c r="AD64" s="89">
        <f>IFERROR((30/100*MAX('⚙ Parámetros'!D17/(1+2^(-'⚙ Parámetros'!C17*(N64-'⚙ Parámetros'!B17))),'⚙ Parámetros'!G17/(1+2^(-'⚙ Parámetros'!F17*(N64-'⚙ Parámetros'!E17))),1)*N64+25/100*MAX('⚙ Parámetros'!D17/(1+2^(-'⚙ Parámetros'!C17*(O64-'⚙ Parámetros'!B17))),'⚙ Parámetros'!G17/(1+2^(-'⚙ Parámetros'!F17*(O64-'⚙ Parámetros'!E17))),1)*O64+25/100*MAX('⚙ Parámetros'!D17/(1+2^(-'⚙ Parámetros'!C17*(P64-'⚙ Parámetros'!B17))),'⚙ Parámetros'!G17/(1+2^(-'⚙ Parámetros'!F17*(P64-'⚙ Parámetros'!E17))),1)*P64+20/100*MAX('⚙ Parámetros'!D17/(1+2^(-'⚙ Parámetros'!C17*(Q64-'⚙ Parámetros'!B17))),'⚙ Parámetros'!G17/(1+2^(-'⚙ Parámetros'!F17*(Q64-'⚙ Parámetros'!E17))),1)*Q64)/(30/100*MAX('⚙ Parámetros'!D17/(1+2^(-'⚙ Parámetros'!C17*(N64-'⚙ Parámetros'!B17))),'⚙ Parámetros'!G17/(1+2^(-'⚙ Parámetros'!F17*(N64-'⚙ Parámetros'!E17))),1)+25/100*MAX('⚙ Parámetros'!D17/(1+2^(-'⚙ Parámetros'!C17*(O64-'⚙ Parámetros'!B17))),'⚙ Parámetros'!G17/(1+2^(-'⚙ Parámetros'!F17*(O64-'⚙ Parámetros'!E17))),1)+25/100*MAX('⚙ Parámetros'!D17/(1+2^(-'⚙ Parámetros'!C17*(P64-'⚙ Parámetros'!B17))),'⚙ Parámetros'!G17/(1+2^(-'⚙ Parámetros'!F17*(P64-'⚙ Parámetros'!E17))),1)+20/100*MAX('⚙ Parámetros'!D17/(1+2^(-'⚙ Parámetros'!C17*(Q64-'⚙ Parámetros'!B17))),'⚙ Parámetros'!G17/(1+2^(-'⚙ Parámetros'!F17*(Q64-'⚙ Parámetros'!E17))),1)),0)</f>
        <v>5.788732394366197</v>
      </c>
      <c r="AE64" s="89">
        <f>IFERROR((30/100*MAX('⚙ Parámetros'!D18/(1+2^(-'⚙ Parámetros'!C18*(R64-'⚙ Parámetros'!B18))),'⚙ Parámetros'!G18/(1+2^(-'⚙ Parámetros'!F18*(R64-'⚙ Parámetros'!E18))),1)*R64+30/100*MAX('⚙ Parámetros'!D18/(1+2^(-'⚙ Parámetros'!C18*(S64-'⚙ Parámetros'!B18))),'⚙ Parámetros'!G18/(1+2^(-'⚙ Parámetros'!F18*(S64-'⚙ Parámetros'!E18))),1)*S64+20/100*MAX('⚙ Parámetros'!D18/(1+2^(-'⚙ Parámetros'!C18*(T64-'⚙ Parámetros'!B18))),'⚙ Parámetros'!G18/(1+2^(-'⚙ Parámetros'!F18*(T64-'⚙ Parámetros'!E18))),1)*T64+20/100*MAX('⚙ Parámetros'!D18/(1+2^(-'⚙ Parámetros'!C18*(U64-'⚙ Parámetros'!B18))),'⚙ Parámetros'!G18/(1+2^(-'⚙ Parámetros'!F18*(U64-'⚙ Parámetros'!E18))),1)*U64)/(30/100*MAX('⚙ Parámetros'!D18/(1+2^(-'⚙ Parámetros'!C18*(R64-'⚙ Parámetros'!B18))),'⚙ Parámetros'!G18/(1+2^(-'⚙ Parámetros'!F18*(R64-'⚙ Parámetros'!E18))),1)+30/100*MAX('⚙ Parámetros'!D18/(1+2^(-'⚙ Parámetros'!C18*(S64-'⚙ Parámetros'!B18))),'⚙ Parámetros'!G18/(1+2^(-'⚙ Parámetros'!F18*(S64-'⚙ Parámetros'!E18))),1)+20/100*MAX('⚙ Parámetros'!D18/(1+2^(-'⚙ Parámetros'!C18*(T64-'⚙ Parámetros'!B18))),'⚙ Parámetros'!G18/(1+2^(-'⚙ Parámetros'!F18*(T64-'⚙ Parámetros'!E18))),1)+20/100*MAX('⚙ Parámetros'!D18/(1+2^(-'⚙ Parámetros'!C18*(U64-'⚙ Parámetros'!B18))),'⚙ Parámetros'!G18/(1+2^(-'⚙ Parámetros'!F18*(U64-'⚙ Parámetros'!E18))),1)),0)</f>
        <v>8.1801060365339655</v>
      </c>
      <c r="AF64" s="89">
        <f>IFERROR((30/100*MAX('⚙ Parámetros'!D19/(1+2^(-'⚙ Parámetros'!C19*(V64-'⚙ Parámetros'!B19))),'⚙ Parámetros'!G19/(1+2^(-'⚙ Parámetros'!F19*(V64-'⚙ Parámetros'!E19))),1)*V64+35/100*MAX('⚙ Parámetros'!D19/(1+2^(-'⚙ Parámetros'!C19*(W64-'⚙ Parámetros'!B19))),'⚙ Parámetros'!G19/(1+2^(-'⚙ Parámetros'!F19*(W64-'⚙ Parámetros'!E19))),1)*W64+35/100*MAX('⚙ Parámetros'!D19/(1+2^(-'⚙ Parámetros'!C19*(X64-'⚙ Parámetros'!B19))),'⚙ Parámetros'!G19/(1+2^(-'⚙ Parámetros'!F19*(X64-'⚙ Parámetros'!E19))),1)*X64)/(30/100*MAX('⚙ Parámetros'!D19/(1+2^(-'⚙ Parámetros'!C19*(V64-'⚙ Parámetros'!B19))),'⚙ Parámetros'!G19/(1+2^(-'⚙ Parámetros'!F19*(V64-'⚙ Parámetros'!E19))),1)+35/100*MAX('⚙ Parámetros'!D19/(1+2^(-'⚙ Parámetros'!C19*(W64-'⚙ Parámetros'!B19))),'⚙ Parámetros'!G19/(1+2^(-'⚙ Parámetros'!F19*(W64-'⚙ Parámetros'!E19))),1)+35/100*MAX('⚙ Parámetros'!D19/(1+2^(-'⚙ Parámetros'!C19*(X64-'⚙ Parámetros'!B19))),'⚙ Parámetros'!G19/(1+2^(-'⚙ Parámetros'!F19*(X64-'⚙ Parámetros'!E19))),1)),0)</f>
        <v>8.0351483057098907</v>
      </c>
      <c r="AG64" s="89">
        <f>IFERROR((35/100*MAX('⚙ Parámetros'!D20/(1+2^(-'⚙ Parámetros'!C20*(Y64-'⚙ Parámetros'!B20))),'⚙ Parámetros'!G20/(1+2^(-'⚙ Parámetros'!F20*(Y64-'⚙ Parámetros'!E20))),1)*Y64+35/100*MAX('⚙ Parámetros'!D20/(1+2^(-'⚙ Parámetros'!C20*(Z64-'⚙ Parámetros'!B20))),'⚙ Parámetros'!G20/(1+2^(-'⚙ Parámetros'!F20*(Z64-'⚙ Parámetros'!E20))),1)*Z64+30/100*MAX('⚙ Parámetros'!D20/(1+2^(-'⚙ Parámetros'!C20*(AA64-'⚙ Parámetros'!B20))),'⚙ Parámetros'!G20/(1+2^(-'⚙ Parámetros'!F20*(AA64-'⚙ Parámetros'!E20))),1)*AA64)/(35/100*MAX('⚙ Parámetros'!D20/(1+2^(-'⚙ Parámetros'!C20*(Y64-'⚙ Parámetros'!B20))),'⚙ Parámetros'!G20/(1+2^(-'⚙ Parámetros'!F20*(Y64-'⚙ Parámetros'!E20))),1)+35/100*MAX('⚙ Parámetros'!D20/(1+2^(-'⚙ Parámetros'!C20*(Z64-'⚙ Parámetros'!B20))),'⚙ Parámetros'!G20/(1+2^(-'⚙ Parámetros'!F20*(Z64-'⚙ Parámetros'!E20))),1)+30/100*MAX('⚙ Parámetros'!D20/(1+2^(-'⚙ Parámetros'!C20*(AA64-'⚙ Parámetros'!B20))),'⚙ Parámetros'!G20/(1+2^(-'⚙ Parámetros'!F20*(AA64-'⚙ Parámetros'!E20))),1)),0)</f>
        <v>3.7272727272727275</v>
      </c>
      <c r="AH64" s="90">
        <f>('⚙ Parámetros'!B5/100*AB64+'⚙ Parámetros'!B6/100*AC64+'⚙ Parámetros'!B7/100*AD64+'⚙ Parámetros'!B8/100*AE64+'⚙ Parámetros'!B9/100*AF64+'⚙ Parámetros'!B10/100*AG64)</f>
        <v>4.1639129948672657</v>
      </c>
      <c r="AI64" s="91">
        <f ca="1">MIN(1+MAX(0,TODAY()-DATE(2026,4,17))/365*'⚙ Parámetros'!B33,'⚙ Parámetros'!B34)</f>
        <v>1.023013698630137</v>
      </c>
      <c r="AJ64" s="82">
        <f t="shared" ca="1" si="2"/>
        <v>4.2597400336532525</v>
      </c>
      <c r="AK64" s="92" t="str">
        <f ca="1">IF(AB64&gt;='⚙ Parámetros'!B23,"⚑ AUTO-PRIOR.(D1≥8)",IF(AJ64&gt;='⚙ Parámetros'!B23,"PRIORITARIO",IF(AJ64&gt;='⚙ Parámetros'!B24,"ALTA PRIORIDAD",IF(AJ64&gt;='⚙ Parámetros'!B25,"PRIORIDAD MEDIA",IF(AJ64&gt;='⚙ Parámetros'!B26,"BAJA PRIORIDAD","DESCARTAR")))))</f>
        <v>BAJA PRIORIDAD</v>
      </c>
      <c r="AL64" s="69" t="str">
        <f t="shared" si="3"/>
        <v>—</v>
      </c>
      <c r="AM64" s="85">
        <v>15</v>
      </c>
      <c r="AN64" s="83" t="str">
        <f>IF(AM64="","—",IF(AM64&lt;'⚙ Parámetros'!B29,"🟢 Corto",IF(AM64&lt;'⚙ Parámetros'!B30,"🟡 Medio","🔴 Largo")))</f>
        <v>🟢 Corto</v>
      </c>
    </row>
    <row r="65" spans="1:40" ht="18.75" customHeight="1" x14ac:dyDescent="0.25">
      <c r="A65" s="69">
        <v>61</v>
      </c>
      <c r="B65" s="70" t="s">
        <v>259</v>
      </c>
      <c r="C65" s="4" t="s">
        <v>260</v>
      </c>
      <c r="D65" s="71" t="s">
        <v>139</v>
      </c>
      <c r="E65" s="72" t="s">
        <v>261</v>
      </c>
      <c r="F65" s="74">
        <v>1</v>
      </c>
      <c r="G65" s="73">
        <v>7</v>
      </c>
      <c r="H65" s="74">
        <v>1</v>
      </c>
      <c r="I65" s="74">
        <v>1</v>
      </c>
      <c r="J65" s="74">
        <v>1</v>
      </c>
      <c r="K65" s="74">
        <v>1</v>
      </c>
      <c r="L65" s="75">
        <v>8</v>
      </c>
      <c r="M65" s="73">
        <v>3</v>
      </c>
      <c r="N65" s="74">
        <v>1</v>
      </c>
      <c r="O65" s="74">
        <v>1</v>
      </c>
      <c r="P65" s="74">
        <v>1</v>
      </c>
      <c r="Q65" s="74">
        <v>1</v>
      </c>
      <c r="R65" s="73">
        <v>5</v>
      </c>
      <c r="S65" s="73">
        <v>5</v>
      </c>
      <c r="T65" s="73">
        <v>5</v>
      </c>
      <c r="U65" s="73">
        <v>5</v>
      </c>
      <c r="V65" s="73">
        <v>5</v>
      </c>
      <c r="W65" s="73">
        <v>6</v>
      </c>
      <c r="X65" s="73">
        <v>6</v>
      </c>
      <c r="Y65" s="73">
        <v>4</v>
      </c>
      <c r="Z65" s="74">
        <v>2</v>
      </c>
      <c r="AA65" s="73">
        <v>5</v>
      </c>
      <c r="AB65" s="80">
        <f>IFERROR((30/100*MAX('⚙ Parámetros'!D15/(1+2^(-'⚙ Parámetros'!C15*(F65-'⚙ Parámetros'!B15))),'⚙ Parámetros'!G15/(1+2^(-'⚙ Parámetros'!F15*(F65-'⚙ Parámetros'!E15))),1)*F65+30/100*MAX('⚙ Parámetros'!D15/(1+2^(-'⚙ Parámetros'!C15*(G65-'⚙ Parámetros'!B15))),'⚙ Parámetros'!G15/(1+2^(-'⚙ Parámetros'!F15*(G65-'⚙ Parámetros'!E15))),1)*G65+20/100*MAX('⚙ Parámetros'!D15/(1+2^(-'⚙ Parámetros'!C15*(H65-'⚙ Parámetros'!B15))),'⚙ Parámetros'!G15/(1+2^(-'⚙ Parámetros'!F15*(H65-'⚙ Parámetros'!E15))),1)*H65+20/100*MAX('⚙ Parámetros'!D15/(1+2^(-'⚙ Parámetros'!C15*(I65-'⚙ Parámetros'!B15))),'⚙ Parámetros'!G15/(1+2^(-'⚙ Parámetros'!F15*(I65-'⚙ Parámetros'!E15))),1)*I65)/(30/100*MAX('⚙ Parámetros'!D15/(1+2^(-'⚙ Parámetros'!C15*(F65-'⚙ Parámetros'!B15))),'⚙ Parámetros'!G15/(1+2^(-'⚙ Parámetros'!F15*(F65-'⚙ Parámetros'!E15))),1)+30/100*MAX('⚙ Parámetros'!D15/(1+2^(-'⚙ Parámetros'!C15*(G65-'⚙ Parámetros'!B15))),'⚙ Parámetros'!G15/(1+2^(-'⚙ Parámetros'!F15*(G65-'⚙ Parámetros'!E15))),1)+20/100*MAX('⚙ Parámetros'!D15/(1+2^(-'⚙ Parámetros'!C15*(H65-'⚙ Parámetros'!B15))),'⚙ Parámetros'!G15/(1+2^(-'⚙ Parámetros'!F15*(H65-'⚙ Parámetros'!E15))),1)+20/100*MAX('⚙ Parámetros'!D15/(1+2^(-'⚙ Parámetros'!C15*(I65-'⚙ Parámetros'!B15))),'⚙ Parámetros'!G15/(1+2^(-'⚙ Parámetros'!F15*(I65-'⚙ Parámetros'!E15))),1)),0)</f>
        <v>4.9512195121951219</v>
      </c>
      <c r="AC65" s="80">
        <f>IFERROR((35/100*MAX('⚙ Parámetros'!D16/(1+2^(-'⚙ Parámetros'!C16*(J65-'⚙ Parámetros'!B16))),'⚙ Parámetros'!G16/(1+2^(-'⚙ Parámetros'!F16*(J65-'⚙ Parámetros'!E16))),1)*J65+25/100*MAX('⚙ Parámetros'!D16/(1+2^(-'⚙ Parámetros'!C16*(K65-'⚙ Parámetros'!B16))),'⚙ Parámetros'!G16/(1+2^(-'⚙ Parámetros'!F16*(K65-'⚙ Parámetros'!E16))),1)*K65+20/100*MAX('⚙ Parámetros'!D16/(1+2^(-'⚙ Parámetros'!C16*(L65-'⚙ Parámetros'!B16))),'⚙ Parámetros'!G16/(1+2^(-'⚙ Parámetros'!F16*(L65-'⚙ Parámetros'!E16))),1)*L65+20/100*MAX('⚙ Parámetros'!D16/(1+2^(-'⚙ Parámetros'!C16*(M65-'⚙ Parámetros'!B16))),'⚙ Parámetros'!G16/(1+2^(-'⚙ Parámetros'!F16*(M65-'⚙ Parámetros'!E16))),1)*M65)/(35/100*MAX('⚙ Parámetros'!D16/(1+2^(-'⚙ Parámetros'!C16*(J65-'⚙ Parámetros'!B16))),'⚙ Parámetros'!G16/(1+2^(-'⚙ Parámetros'!F16*(J65-'⚙ Parámetros'!E16))),1)+25/100*MAX('⚙ Parámetros'!D16/(1+2^(-'⚙ Parámetros'!C16*(K65-'⚙ Parámetros'!B16))),'⚙ Parámetros'!G16/(1+2^(-'⚙ Parámetros'!F16*(K65-'⚙ Parámetros'!E16))),1)+20/100*MAX('⚙ Parámetros'!D16/(1+2^(-'⚙ Parámetros'!C16*(L65-'⚙ Parámetros'!B16))),'⚙ Parámetros'!G16/(1+2^(-'⚙ Parámetros'!F16*(L65-'⚙ Parámetros'!E16))),1)+20/100*MAX('⚙ Parámetros'!D16/(1+2^(-'⚙ Parámetros'!C16*(M65-'⚙ Parámetros'!B16))),'⚙ Parámetros'!G16/(1+2^(-'⚙ Parámetros'!F16*(M65-'⚙ Parámetros'!E16))),1)),0)</f>
        <v>4.9411764705882355</v>
      </c>
      <c r="AD65" s="80">
        <f>IFERROR((30/100*MAX('⚙ Parámetros'!D17/(1+2^(-'⚙ Parámetros'!C17*(N65-'⚙ Parámetros'!B17))),'⚙ Parámetros'!G17/(1+2^(-'⚙ Parámetros'!F17*(N65-'⚙ Parámetros'!E17))),1)*N65+25/100*MAX('⚙ Parámetros'!D17/(1+2^(-'⚙ Parámetros'!C17*(O65-'⚙ Parámetros'!B17))),'⚙ Parámetros'!G17/(1+2^(-'⚙ Parámetros'!F17*(O65-'⚙ Parámetros'!E17))),1)*O65+25/100*MAX('⚙ Parámetros'!D17/(1+2^(-'⚙ Parámetros'!C17*(P65-'⚙ Parámetros'!B17))),'⚙ Parámetros'!G17/(1+2^(-'⚙ Parámetros'!F17*(P65-'⚙ Parámetros'!E17))),1)*P65+20/100*MAX('⚙ Parámetros'!D17/(1+2^(-'⚙ Parámetros'!C17*(Q65-'⚙ Parámetros'!B17))),'⚙ Parámetros'!G17/(1+2^(-'⚙ Parámetros'!F17*(Q65-'⚙ Parámetros'!E17))),1)*Q65)/(30/100*MAX('⚙ Parámetros'!D17/(1+2^(-'⚙ Parámetros'!C17*(N65-'⚙ Parámetros'!B17))),'⚙ Parámetros'!G17/(1+2^(-'⚙ Parámetros'!F17*(N65-'⚙ Parámetros'!E17))),1)+25/100*MAX('⚙ Parámetros'!D17/(1+2^(-'⚙ Parámetros'!C17*(O65-'⚙ Parámetros'!B17))),'⚙ Parámetros'!G17/(1+2^(-'⚙ Parámetros'!F17*(O65-'⚙ Parámetros'!E17))),1)+25/100*MAX('⚙ Parámetros'!D17/(1+2^(-'⚙ Parámetros'!C17*(P65-'⚙ Parámetros'!B17))),'⚙ Parámetros'!G17/(1+2^(-'⚙ Parámetros'!F17*(P65-'⚙ Parámetros'!E17))),1)+20/100*MAX('⚙ Parámetros'!D17/(1+2^(-'⚙ Parámetros'!C17*(Q65-'⚙ Parámetros'!B17))),'⚙ Parámetros'!G17/(1+2^(-'⚙ Parámetros'!F17*(Q65-'⚙ Parámetros'!E17))),1)),0)</f>
        <v>1</v>
      </c>
      <c r="AE65" s="80">
        <f>IFERROR((30/100*MAX('⚙ Parámetros'!D18/(1+2^(-'⚙ Parámetros'!C18*(R65-'⚙ Parámetros'!B18))),'⚙ Parámetros'!G18/(1+2^(-'⚙ Parámetros'!F18*(R65-'⚙ Parámetros'!E18))),1)*R65+30/100*MAX('⚙ Parámetros'!D18/(1+2^(-'⚙ Parámetros'!C18*(S65-'⚙ Parámetros'!B18))),'⚙ Parámetros'!G18/(1+2^(-'⚙ Parámetros'!F18*(S65-'⚙ Parámetros'!E18))),1)*S65+20/100*MAX('⚙ Parámetros'!D18/(1+2^(-'⚙ Parámetros'!C18*(T65-'⚙ Parámetros'!B18))),'⚙ Parámetros'!G18/(1+2^(-'⚙ Parámetros'!F18*(T65-'⚙ Parámetros'!E18))),1)*T65+20/100*MAX('⚙ Parámetros'!D18/(1+2^(-'⚙ Parámetros'!C18*(U65-'⚙ Parámetros'!B18))),'⚙ Parámetros'!G18/(1+2^(-'⚙ Parámetros'!F18*(U65-'⚙ Parámetros'!E18))),1)*U65)/(30/100*MAX('⚙ Parámetros'!D18/(1+2^(-'⚙ Parámetros'!C18*(R65-'⚙ Parámetros'!B18))),'⚙ Parámetros'!G18/(1+2^(-'⚙ Parámetros'!F18*(R65-'⚙ Parámetros'!E18))),1)+30/100*MAX('⚙ Parámetros'!D18/(1+2^(-'⚙ Parámetros'!C18*(S65-'⚙ Parámetros'!B18))),'⚙ Parámetros'!G18/(1+2^(-'⚙ Parámetros'!F18*(S65-'⚙ Parámetros'!E18))),1)+20/100*MAX('⚙ Parámetros'!D18/(1+2^(-'⚙ Parámetros'!C18*(T65-'⚙ Parámetros'!B18))),'⚙ Parámetros'!G18/(1+2^(-'⚙ Parámetros'!F18*(T65-'⚙ Parámetros'!E18))),1)+20/100*MAX('⚙ Parámetros'!D18/(1+2^(-'⚙ Parámetros'!C18*(U65-'⚙ Parámetros'!B18))),'⚙ Parámetros'!G18/(1+2^(-'⚙ Parámetros'!F18*(U65-'⚙ Parámetros'!E18))),1)),0)</f>
        <v>5</v>
      </c>
      <c r="AF65" s="80">
        <f>IFERROR((30/100*MAX('⚙ Parámetros'!D19/(1+2^(-'⚙ Parámetros'!C19*(V65-'⚙ Parámetros'!B19))),'⚙ Parámetros'!G19/(1+2^(-'⚙ Parámetros'!F19*(V65-'⚙ Parámetros'!E19))),1)*V65+35/100*MAX('⚙ Parámetros'!D19/(1+2^(-'⚙ Parámetros'!C19*(W65-'⚙ Parámetros'!B19))),'⚙ Parámetros'!G19/(1+2^(-'⚙ Parámetros'!F19*(W65-'⚙ Parámetros'!E19))),1)*W65+35/100*MAX('⚙ Parámetros'!D19/(1+2^(-'⚙ Parámetros'!C19*(X65-'⚙ Parámetros'!B19))),'⚙ Parámetros'!G19/(1+2^(-'⚙ Parámetros'!F19*(X65-'⚙ Parámetros'!E19))),1)*X65)/(30/100*MAX('⚙ Parámetros'!D19/(1+2^(-'⚙ Parámetros'!C19*(V65-'⚙ Parámetros'!B19))),'⚙ Parámetros'!G19/(1+2^(-'⚙ Parámetros'!F19*(V65-'⚙ Parámetros'!E19))),1)+35/100*MAX('⚙ Parámetros'!D19/(1+2^(-'⚙ Parámetros'!C19*(W65-'⚙ Parámetros'!B19))),'⚙ Parámetros'!G19/(1+2^(-'⚙ Parámetros'!F19*(W65-'⚙ Parámetros'!E19))),1)+35/100*MAX('⚙ Parámetros'!D19/(1+2^(-'⚙ Parámetros'!C19*(X65-'⚙ Parámetros'!B19))),'⚙ Parámetros'!G19/(1+2^(-'⚙ Parámetros'!F19*(X65-'⚙ Parámetros'!E19))),1)),0)</f>
        <v>5.7368421052631575</v>
      </c>
      <c r="AG65" s="80">
        <f>IFERROR((35/100*MAX('⚙ Parámetros'!D20/(1+2^(-'⚙ Parámetros'!C20*(Y65-'⚙ Parámetros'!B20))),'⚙ Parámetros'!G20/(1+2^(-'⚙ Parámetros'!F20*(Y65-'⚙ Parámetros'!E20))),1)*Y65+35/100*MAX('⚙ Parámetros'!D20/(1+2^(-'⚙ Parámetros'!C20*(Z65-'⚙ Parámetros'!B20))),'⚙ Parámetros'!G20/(1+2^(-'⚙ Parámetros'!F20*(Z65-'⚙ Parámetros'!E20))),1)*Z65+30/100*MAX('⚙ Parámetros'!D20/(1+2^(-'⚙ Parámetros'!C20*(AA65-'⚙ Parámetros'!B20))),'⚙ Parámetros'!G20/(1+2^(-'⚙ Parámetros'!F20*(AA65-'⚙ Parámetros'!E20))),1)*AA65)/(35/100*MAX('⚙ Parámetros'!D20/(1+2^(-'⚙ Parámetros'!C20*(Y65-'⚙ Parámetros'!B20))),'⚙ Parámetros'!G20/(1+2^(-'⚙ Parámetros'!F20*(Y65-'⚙ Parámetros'!E20))),1)+35/100*MAX('⚙ Parámetros'!D20/(1+2^(-'⚙ Parámetros'!C20*(Z65-'⚙ Parámetros'!B20))),'⚙ Parámetros'!G20/(1+2^(-'⚙ Parámetros'!F20*(Z65-'⚙ Parámetros'!E20))),1)+30/100*MAX('⚙ Parámetros'!D20/(1+2^(-'⚙ Parámetros'!C20*(AA65-'⚙ Parámetros'!B20))),'⚙ Parámetros'!G20/(1+2^(-'⚙ Parámetros'!F20*(AA65-'⚙ Parámetros'!E20))),1)),0)</f>
        <v>3.7272727272727275</v>
      </c>
      <c r="AH65" s="81">
        <f>('⚙ Parámetros'!B5/100*AB65+'⚙ Parámetros'!B6/100*AC65+'⚙ Parámetros'!B7/100*AD65+'⚙ Parámetros'!B8/100*AE65+'⚙ Parámetros'!B9/100*AF65+'⚙ Parámetros'!B10/100*AG65)</f>
        <v>4.1454671764843178</v>
      </c>
      <c r="AI65" s="33">
        <f ca="1">MIN(1+MAX(0,TODAY()-DATE(2026,4,16))/365*'⚙ Parámetros'!B33,'⚙ Parámetros'!B34)</f>
        <v>1.0234246575342465</v>
      </c>
      <c r="AJ65" s="82">
        <f t="shared" ca="1" si="2"/>
        <v>4.2425733254129225</v>
      </c>
      <c r="AK65" s="83" t="str">
        <f ca="1">IF(AB65&gt;='⚙ Parámetros'!B23,"⚑ AUTO-PRIOR.(D1≥8)",IF(AJ65&gt;='⚙ Parámetros'!B23,"PRIORITARIO",IF(AJ65&gt;='⚙ Parámetros'!B24,"ALTA PRIORIDAD",IF(AJ65&gt;='⚙ Parámetros'!B25,"PRIORIDAD MEDIA",IF(AJ65&gt;='⚙ Parámetros'!B26,"BAJA PRIORIDAD","DESCARTAR")))))</f>
        <v>BAJA PRIORIDAD</v>
      </c>
      <c r="AL65" s="84" t="str">
        <f t="shared" si="3"/>
        <v>—</v>
      </c>
      <c r="AM65" s="85">
        <v>11</v>
      </c>
      <c r="AN65" s="83" t="str">
        <f>IF(AM65="","—",IF(AM65&lt;'⚙ Parámetros'!B29,"🟢 Corto",IF(AM65&lt;'⚙ Parámetros'!B30,"🟡 Medio","🔴 Largo")))</f>
        <v>🟢 Corto</v>
      </c>
    </row>
    <row r="66" spans="1:40" ht="18.75" customHeight="1" x14ac:dyDescent="0.25">
      <c r="A66" s="69">
        <v>62</v>
      </c>
      <c r="B66" s="30" t="s">
        <v>262</v>
      </c>
      <c r="C66" s="26" t="s">
        <v>147</v>
      </c>
      <c r="D66" s="71" t="s">
        <v>263</v>
      </c>
      <c r="E66" s="72" t="s">
        <v>264</v>
      </c>
      <c r="F66" s="86">
        <v>5</v>
      </c>
      <c r="G66" s="74">
        <v>1</v>
      </c>
      <c r="H66" s="86">
        <v>5</v>
      </c>
      <c r="I66" s="74">
        <v>1</v>
      </c>
      <c r="J66" s="74">
        <v>1</v>
      </c>
      <c r="K66" s="74">
        <v>1</v>
      </c>
      <c r="L66" s="74">
        <v>1</v>
      </c>
      <c r="M66" s="86">
        <v>3</v>
      </c>
      <c r="N66" s="86">
        <v>7</v>
      </c>
      <c r="O66" s="74">
        <v>1</v>
      </c>
      <c r="P66" s="86">
        <v>7</v>
      </c>
      <c r="Q66" s="74">
        <v>1</v>
      </c>
      <c r="R66" s="86">
        <v>5</v>
      </c>
      <c r="S66" s="86">
        <v>5</v>
      </c>
      <c r="T66" s="86">
        <v>5</v>
      </c>
      <c r="U66" s="86">
        <v>5</v>
      </c>
      <c r="V66" s="77">
        <v>8</v>
      </c>
      <c r="W66" s="86">
        <v>6</v>
      </c>
      <c r="X66" s="77">
        <v>9</v>
      </c>
      <c r="Y66" s="86">
        <v>4</v>
      </c>
      <c r="Z66" s="74">
        <v>2</v>
      </c>
      <c r="AA66" s="86">
        <v>5</v>
      </c>
      <c r="AB66" s="89">
        <f>IFERROR((30/100*MAX('⚙ Parámetros'!D15/(1+2^(-'⚙ Parámetros'!C15*(F66-'⚙ Parámetros'!B15))),'⚙ Parámetros'!G15/(1+2^(-'⚙ Parámetros'!F15*(F66-'⚙ Parámetros'!E15))),1)*F66+30/100*MAX('⚙ Parámetros'!D15/(1+2^(-'⚙ Parámetros'!C15*(G66-'⚙ Parámetros'!B15))),'⚙ Parámetros'!G15/(1+2^(-'⚙ Parámetros'!F15*(G66-'⚙ Parámetros'!E15))),1)*G66+20/100*MAX('⚙ Parámetros'!D15/(1+2^(-'⚙ Parámetros'!C15*(H66-'⚙ Parámetros'!B15))),'⚙ Parámetros'!G15/(1+2^(-'⚙ Parámetros'!F15*(H66-'⚙ Parámetros'!E15))),1)*H66+20/100*MAX('⚙ Parámetros'!D15/(1+2^(-'⚙ Parámetros'!C15*(I66-'⚙ Parámetros'!B15))),'⚙ Parámetros'!G15/(1+2^(-'⚙ Parámetros'!F15*(I66-'⚙ Parámetros'!E15))),1)*I66)/(30/100*MAX('⚙ Parámetros'!D15/(1+2^(-'⚙ Parámetros'!C15*(F66-'⚙ Parámetros'!B15))),'⚙ Parámetros'!G15/(1+2^(-'⚙ Parámetros'!F15*(F66-'⚙ Parámetros'!E15))),1)+30/100*MAX('⚙ Parámetros'!D15/(1+2^(-'⚙ Parámetros'!C15*(G66-'⚙ Parámetros'!B15))),'⚙ Parámetros'!G15/(1+2^(-'⚙ Parámetros'!F15*(G66-'⚙ Parámetros'!E15))),1)+20/100*MAX('⚙ Parámetros'!D15/(1+2^(-'⚙ Parámetros'!C15*(H66-'⚙ Parámetros'!B15))),'⚙ Parámetros'!G15/(1+2^(-'⚙ Parámetros'!F15*(H66-'⚙ Parámetros'!E15))),1)+20/100*MAX('⚙ Parámetros'!D15/(1+2^(-'⚙ Parámetros'!C15*(I66-'⚙ Parámetros'!B15))),'⚙ Parámetros'!G15/(1+2^(-'⚙ Parámetros'!F15*(I66-'⚙ Parámetros'!E15))),1)),0)</f>
        <v>3.4615384615384612</v>
      </c>
      <c r="AC66" s="89">
        <f>IFERROR((35/100*MAX('⚙ Parámetros'!D16/(1+2^(-'⚙ Parámetros'!C16*(J66-'⚙ Parámetros'!B16))),'⚙ Parámetros'!G16/(1+2^(-'⚙ Parámetros'!F16*(J66-'⚙ Parámetros'!E16))),1)*J66+25/100*MAX('⚙ Parámetros'!D16/(1+2^(-'⚙ Parámetros'!C16*(K66-'⚙ Parámetros'!B16))),'⚙ Parámetros'!G16/(1+2^(-'⚙ Parámetros'!F16*(K66-'⚙ Parámetros'!E16))),1)*K66+20/100*MAX('⚙ Parámetros'!D16/(1+2^(-'⚙ Parámetros'!C16*(L66-'⚙ Parámetros'!B16))),'⚙ Parámetros'!G16/(1+2^(-'⚙ Parámetros'!F16*(L66-'⚙ Parámetros'!E16))),1)*L66+20/100*MAX('⚙ Parámetros'!D16/(1+2^(-'⚙ Parámetros'!C16*(M66-'⚙ Parámetros'!B16))),'⚙ Parámetros'!G16/(1+2^(-'⚙ Parámetros'!F16*(M66-'⚙ Parámetros'!E16))),1)*M66)/(35/100*MAX('⚙ Parámetros'!D16/(1+2^(-'⚙ Parámetros'!C16*(J66-'⚙ Parámetros'!B16))),'⚙ Parámetros'!G16/(1+2^(-'⚙ Parámetros'!F16*(J66-'⚙ Parámetros'!E16))),1)+25/100*MAX('⚙ Parámetros'!D16/(1+2^(-'⚙ Parámetros'!C16*(K66-'⚙ Parámetros'!B16))),'⚙ Parámetros'!G16/(1+2^(-'⚙ Parámetros'!F16*(K66-'⚙ Parámetros'!E16))),1)+20/100*MAX('⚙ Parámetros'!D16/(1+2^(-'⚙ Parámetros'!C16*(L66-'⚙ Parámetros'!B16))),'⚙ Parámetros'!G16/(1+2^(-'⚙ Parámetros'!F16*(L66-'⚙ Parámetros'!E16))),1)+20/100*MAX('⚙ Parámetros'!D16/(1+2^(-'⚙ Parámetros'!C16*(M66-'⚙ Parámetros'!B16))),'⚙ Parámetros'!G16/(1+2^(-'⚙ Parámetros'!F16*(M66-'⚙ Parámetros'!E16))),1)),0)</f>
        <v>1.4000000000000001</v>
      </c>
      <c r="AD66" s="89">
        <f>IFERROR((30/100*MAX('⚙ Parámetros'!D17/(1+2^(-'⚙ Parámetros'!C17*(N66-'⚙ Parámetros'!B17))),'⚙ Parámetros'!G17/(1+2^(-'⚙ Parámetros'!F17*(N66-'⚙ Parámetros'!E17))),1)*N66+25/100*MAX('⚙ Parámetros'!D17/(1+2^(-'⚙ Parámetros'!C17*(O66-'⚙ Parámetros'!B17))),'⚙ Parámetros'!G17/(1+2^(-'⚙ Parámetros'!F17*(O66-'⚙ Parámetros'!E17))),1)*O66+25/100*MAX('⚙ Parámetros'!D17/(1+2^(-'⚙ Parámetros'!C17*(P66-'⚙ Parámetros'!B17))),'⚙ Parámetros'!G17/(1+2^(-'⚙ Parámetros'!F17*(P66-'⚙ Parámetros'!E17))),1)*P66+20/100*MAX('⚙ Parámetros'!D17/(1+2^(-'⚙ Parámetros'!C17*(Q66-'⚙ Parámetros'!B17))),'⚙ Parámetros'!G17/(1+2^(-'⚙ Parámetros'!F17*(Q66-'⚙ Parámetros'!E17))),1)*Q66)/(30/100*MAX('⚙ Parámetros'!D17/(1+2^(-'⚙ Parámetros'!C17*(N66-'⚙ Parámetros'!B17))),'⚙ Parámetros'!G17/(1+2^(-'⚙ Parámetros'!F17*(N66-'⚙ Parámetros'!E17))),1)+25/100*MAX('⚙ Parámetros'!D17/(1+2^(-'⚙ Parámetros'!C17*(O66-'⚙ Parámetros'!B17))),'⚙ Parámetros'!G17/(1+2^(-'⚙ Parámetros'!F17*(O66-'⚙ Parámetros'!E17))),1)+25/100*MAX('⚙ Parámetros'!D17/(1+2^(-'⚙ Parámetros'!C17*(P66-'⚙ Parámetros'!B17))),'⚙ Parámetros'!G17/(1+2^(-'⚙ Parámetros'!F17*(P66-'⚙ Parámetros'!E17))),1)+20/100*MAX('⚙ Parámetros'!D17/(1+2^(-'⚙ Parámetros'!C17*(Q66-'⚙ Parámetros'!B17))),'⚙ Parámetros'!G17/(1+2^(-'⚙ Parámetros'!F17*(Q66-'⚙ Parámetros'!E17))),1)),0)</f>
        <v>5.5913043478260871</v>
      </c>
      <c r="AE66" s="89">
        <f>IFERROR((30/100*MAX('⚙ Parámetros'!D18/(1+2^(-'⚙ Parámetros'!C18*(R66-'⚙ Parámetros'!B18))),'⚙ Parámetros'!G18/(1+2^(-'⚙ Parámetros'!F18*(R66-'⚙ Parámetros'!E18))),1)*R66+30/100*MAX('⚙ Parámetros'!D18/(1+2^(-'⚙ Parámetros'!C18*(S66-'⚙ Parámetros'!B18))),'⚙ Parámetros'!G18/(1+2^(-'⚙ Parámetros'!F18*(S66-'⚙ Parámetros'!E18))),1)*S66+20/100*MAX('⚙ Parámetros'!D18/(1+2^(-'⚙ Parámetros'!C18*(T66-'⚙ Parámetros'!B18))),'⚙ Parámetros'!G18/(1+2^(-'⚙ Parámetros'!F18*(T66-'⚙ Parámetros'!E18))),1)*T66+20/100*MAX('⚙ Parámetros'!D18/(1+2^(-'⚙ Parámetros'!C18*(U66-'⚙ Parámetros'!B18))),'⚙ Parámetros'!G18/(1+2^(-'⚙ Parámetros'!F18*(U66-'⚙ Parámetros'!E18))),1)*U66)/(30/100*MAX('⚙ Parámetros'!D18/(1+2^(-'⚙ Parámetros'!C18*(R66-'⚙ Parámetros'!B18))),'⚙ Parámetros'!G18/(1+2^(-'⚙ Parámetros'!F18*(R66-'⚙ Parámetros'!E18))),1)+30/100*MAX('⚙ Parámetros'!D18/(1+2^(-'⚙ Parámetros'!C18*(S66-'⚙ Parámetros'!B18))),'⚙ Parámetros'!G18/(1+2^(-'⚙ Parámetros'!F18*(S66-'⚙ Parámetros'!E18))),1)+20/100*MAX('⚙ Parámetros'!D18/(1+2^(-'⚙ Parámetros'!C18*(T66-'⚙ Parámetros'!B18))),'⚙ Parámetros'!G18/(1+2^(-'⚙ Parámetros'!F18*(T66-'⚙ Parámetros'!E18))),1)+20/100*MAX('⚙ Parámetros'!D18/(1+2^(-'⚙ Parámetros'!C18*(U66-'⚙ Parámetros'!B18))),'⚙ Parámetros'!G18/(1+2^(-'⚙ Parámetros'!F18*(U66-'⚙ Parámetros'!E18))),1)),0)</f>
        <v>5</v>
      </c>
      <c r="AF66" s="89">
        <f>IFERROR((30/100*MAX('⚙ Parámetros'!D19/(1+2^(-'⚙ Parámetros'!C19*(V66-'⚙ Parámetros'!B19))),'⚙ Parámetros'!G19/(1+2^(-'⚙ Parámetros'!F19*(V66-'⚙ Parámetros'!E19))),1)*V66+35/100*MAX('⚙ Parámetros'!D19/(1+2^(-'⚙ Parámetros'!C19*(W66-'⚙ Parámetros'!B19))),'⚙ Parámetros'!G19/(1+2^(-'⚙ Parámetros'!F19*(W66-'⚙ Parámetros'!E19))),1)*W66+35/100*MAX('⚙ Parámetros'!D19/(1+2^(-'⚙ Parámetros'!C19*(X66-'⚙ Parámetros'!B19))),'⚙ Parámetros'!G19/(1+2^(-'⚙ Parámetros'!F19*(X66-'⚙ Parámetros'!E19))),1)*X66)/(30/100*MAX('⚙ Parámetros'!D19/(1+2^(-'⚙ Parámetros'!C19*(V66-'⚙ Parámetros'!B19))),'⚙ Parámetros'!G19/(1+2^(-'⚙ Parámetros'!F19*(V66-'⚙ Parámetros'!E19))),1)+35/100*MAX('⚙ Parámetros'!D19/(1+2^(-'⚙ Parámetros'!C19*(W66-'⚙ Parámetros'!B19))),'⚙ Parámetros'!G19/(1+2^(-'⚙ Parámetros'!F19*(W66-'⚙ Parámetros'!E19))),1)+35/100*MAX('⚙ Parámetros'!D19/(1+2^(-'⚙ Parámetros'!C19*(X66-'⚙ Parámetros'!B19))),'⚙ Parámetros'!G19/(1+2^(-'⚙ Parámetros'!F19*(X66-'⚙ Parámetros'!E19))),1)),0)</f>
        <v>8.0351483057098907</v>
      </c>
      <c r="AG66" s="89">
        <f>IFERROR((35/100*MAX('⚙ Parámetros'!D20/(1+2^(-'⚙ Parámetros'!C20*(Y66-'⚙ Parámetros'!B20))),'⚙ Parámetros'!G20/(1+2^(-'⚙ Parámetros'!F20*(Y66-'⚙ Parámetros'!E20))),1)*Y66+35/100*MAX('⚙ Parámetros'!D20/(1+2^(-'⚙ Parámetros'!C20*(Z66-'⚙ Parámetros'!B20))),'⚙ Parámetros'!G20/(1+2^(-'⚙ Parámetros'!F20*(Z66-'⚙ Parámetros'!E20))),1)*Z66+30/100*MAX('⚙ Parámetros'!D20/(1+2^(-'⚙ Parámetros'!C20*(AA66-'⚙ Parámetros'!B20))),'⚙ Parámetros'!G20/(1+2^(-'⚙ Parámetros'!F20*(AA66-'⚙ Parámetros'!E20))),1)*AA66)/(35/100*MAX('⚙ Parámetros'!D20/(1+2^(-'⚙ Parámetros'!C20*(Y66-'⚙ Parámetros'!B20))),'⚙ Parámetros'!G20/(1+2^(-'⚙ Parámetros'!F20*(Y66-'⚙ Parámetros'!E20))),1)+35/100*MAX('⚙ Parámetros'!D20/(1+2^(-'⚙ Parámetros'!C20*(Z66-'⚙ Parámetros'!B20))),'⚙ Parámetros'!G20/(1+2^(-'⚙ Parámetros'!F20*(Z66-'⚙ Parámetros'!E20))),1)+30/100*MAX('⚙ Parámetros'!D20/(1+2^(-'⚙ Parámetros'!C20*(AA66-'⚙ Parámetros'!B20))),'⚙ Parámetros'!G20/(1+2^(-'⚙ Parámetros'!F20*(AA66-'⚙ Parámetros'!E20))),1)),0)</f>
        <v>3.7272727272727275</v>
      </c>
      <c r="AH66" s="90">
        <f>('⚙ Parámetros'!B5/100*AB66+'⚙ Parámetros'!B6/100*AC66+'⚙ Parámetros'!B7/100*AD66+'⚙ Parámetros'!B8/100*AE66+'⚙ Parámetros'!B9/100*AF66+'⚙ Parámetros'!B10/100*AG66)</f>
        <v>4.1384190567795631</v>
      </c>
      <c r="AI66" s="91">
        <f ca="1">MIN(1+MAX(0,TODAY()-DATE(2026,4,30))/365*'⚙ Parámetros'!B33,'⚙ Parámetros'!B34)</f>
        <v>1.0176712328767124</v>
      </c>
      <c r="AJ66" s="82">
        <f t="shared" ca="1" si="2"/>
        <v>4.2115500236733387</v>
      </c>
      <c r="AK66" s="92" t="str">
        <f ca="1">IF(AB66&gt;='⚙ Parámetros'!B23,"⚑ AUTO-PRIOR.(D1≥8)",IF(AJ66&gt;='⚙ Parámetros'!B23,"PRIORITARIO",IF(AJ66&gt;='⚙ Parámetros'!B24,"ALTA PRIORIDAD",IF(AJ66&gt;='⚙ Parámetros'!B25,"PRIORIDAD MEDIA",IF(AJ66&gt;='⚙ Parámetros'!B26,"BAJA PRIORIDAD","DESCARTAR")))))</f>
        <v>BAJA PRIORIDAD</v>
      </c>
      <c r="AL66" s="69" t="str">
        <f t="shared" si="3"/>
        <v>—</v>
      </c>
      <c r="AM66" s="85">
        <v>36</v>
      </c>
      <c r="AN66" s="83" t="str">
        <f>IF(AM66="","—",IF(AM66&lt;'⚙ Parámetros'!B29,"🟢 Corto",IF(AM66&lt;'⚙ Parámetros'!B30,"🟡 Medio","🔴 Largo")))</f>
        <v>🟡 Medio</v>
      </c>
    </row>
    <row r="67" spans="1:40" ht="18.75" customHeight="1" x14ac:dyDescent="0.25">
      <c r="A67" s="69">
        <v>63</v>
      </c>
      <c r="B67" s="70" t="s">
        <v>265</v>
      </c>
      <c r="C67" s="4" t="s">
        <v>266</v>
      </c>
      <c r="D67" s="71" t="s">
        <v>167</v>
      </c>
      <c r="E67" s="72" t="s">
        <v>267</v>
      </c>
      <c r="F67" s="74">
        <v>1</v>
      </c>
      <c r="G67" s="74">
        <v>1</v>
      </c>
      <c r="H67" s="74">
        <v>1</v>
      </c>
      <c r="I67" s="74">
        <v>9</v>
      </c>
      <c r="J67" s="74">
        <v>1</v>
      </c>
      <c r="K67" s="74">
        <v>1</v>
      </c>
      <c r="L67" s="74">
        <v>1</v>
      </c>
      <c r="M67" s="73">
        <v>3</v>
      </c>
      <c r="N67" s="74">
        <v>1</v>
      </c>
      <c r="O67" s="74">
        <v>1</v>
      </c>
      <c r="P67" s="74">
        <v>1</v>
      </c>
      <c r="Q67" s="74">
        <v>1</v>
      </c>
      <c r="R67" s="73">
        <v>5</v>
      </c>
      <c r="S67" s="73">
        <v>5</v>
      </c>
      <c r="T67" s="73">
        <v>5</v>
      </c>
      <c r="U67" s="73">
        <v>5</v>
      </c>
      <c r="V67" s="73">
        <v>5</v>
      </c>
      <c r="W67" s="73">
        <v>6</v>
      </c>
      <c r="X67" s="73">
        <v>6</v>
      </c>
      <c r="Y67" s="73">
        <v>4</v>
      </c>
      <c r="Z67" s="78">
        <v>8</v>
      </c>
      <c r="AA67" s="73">
        <v>5</v>
      </c>
      <c r="AB67" s="80">
        <f>IFERROR((30/100*MAX('⚙ Parámetros'!D15/(1+2^(-'⚙ Parámetros'!C15*(F67-'⚙ Parámetros'!B15))),'⚙ Parámetros'!G15/(1+2^(-'⚙ Parámetros'!F15*(F67-'⚙ Parámetros'!E15))),1)*F67+30/100*MAX('⚙ Parámetros'!D15/(1+2^(-'⚙ Parámetros'!C15*(G67-'⚙ Parámetros'!B15))),'⚙ Parámetros'!G15/(1+2^(-'⚙ Parámetros'!F15*(G67-'⚙ Parámetros'!E15))),1)*G67+20/100*MAX('⚙ Parámetros'!D15/(1+2^(-'⚙ Parámetros'!C15*(H67-'⚙ Parámetros'!B15))),'⚙ Parámetros'!G15/(1+2^(-'⚙ Parámetros'!F15*(H67-'⚙ Parámetros'!E15))),1)*H67+20/100*MAX('⚙ Parámetros'!D15/(1+2^(-'⚙ Parámetros'!C15*(I67-'⚙ Parámetros'!B15))),'⚙ Parámetros'!G15/(1+2^(-'⚙ Parámetros'!F15*(I67-'⚙ Parámetros'!E15))),1)*I67)/(30/100*MAX('⚙ Parámetros'!D15/(1+2^(-'⚙ Parámetros'!C15*(F67-'⚙ Parámetros'!B15))),'⚙ Parámetros'!G15/(1+2^(-'⚙ Parámetros'!F15*(F67-'⚙ Parámetros'!E15))),1)+30/100*MAX('⚙ Parámetros'!D15/(1+2^(-'⚙ Parámetros'!C15*(G67-'⚙ Parámetros'!B15))),'⚙ Parámetros'!G15/(1+2^(-'⚙ Parámetros'!F15*(G67-'⚙ Parámetros'!E15))),1)+20/100*MAX('⚙ Parámetros'!D15/(1+2^(-'⚙ Parámetros'!C15*(H67-'⚙ Parámetros'!B15))),'⚙ Parámetros'!G15/(1+2^(-'⚙ Parámetros'!F15*(H67-'⚙ Parámetros'!E15))),1)+20/100*MAX('⚙ Parámetros'!D15/(1+2^(-'⚙ Parámetros'!C15*(I67-'⚙ Parámetros'!B15))),'⚙ Parámetros'!G15/(1+2^(-'⚙ Parámetros'!F15*(I67-'⚙ Parámetros'!E15))),1)),0)</f>
        <v>6.4339622641509449</v>
      </c>
      <c r="AC67" s="80">
        <f>IFERROR((35/100*MAX('⚙ Parámetros'!D16/(1+2^(-'⚙ Parámetros'!C16*(J67-'⚙ Parámetros'!B16))),'⚙ Parámetros'!G16/(1+2^(-'⚙ Parámetros'!F16*(J67-'⚙ Parámetros'!E16))),1)*J67+25/100*MAX('⚙ Parámetros'!D16/(1+2^(-'⚙ Parámetros'!C16*(K67-'⚙ Parámetros'!B16))),'⚙ Parámetros'!G16/(1+2^(-'⚙ Parámetros'!F16*(K67-'⚙ Parámetros'!E16))),1)*K67+20/100*MAX('⚙ Parámetros'!D16/(1+2^(-'⚙ Parámetros'!C16*(L67-'⚙ Parámetros'!B16))),'⚙ Parámetros'!G16/(1+2^(-'⚙ Parámetros'!F16*(L67-'⚙ Parámetros'!E16))),1)*L67+20/100*MAX('⚙ Parámetros'!D16/(1+2^(-'⚙ Parámetros'!C16*(M67-'⚙ Parámetros'!B16))),'⚙ Parámetros'!G16/(1+2^(-'⚙ Parámetros'!F16*(M67-'⚙ Parámetros'!E16))),1)*M67)/(35/100*MAX('⚙ Parámetros'!D16/(1+2^(-'⚙ Parámetros'!C16*(J67-'⚙ Parámetros'!B16))),'⚙ Parámetros'!G16/(1+2^(-'⚙ Parámetros'!F16*(J67-'⚙ Parámetros'!E16))),1)+25/100*MAX('⚙ Parámetros'!D16/(1+2^(-'⚙ Parámetros'!C16*(K67-'⚙ Parámetros'!B16))),'⚙ Parámetros'!G16/(1+2^(-'⚙ Parámetros'!F16*(K67-'⚙ Parámetros'!E16))),1)+20/100*MAX('⚙ Parámetros'!D16/(1+2^(-'⚙ Parámetros'!C16*(L67-'⚙ Parámetros'!B16))),'⚙ Parámetros'!G16/(1+2^(-'⚙ Parámetros'!F16*(L67-'⚙ Parámetros'!E16))),1)+20/100*MAX('⚙ Parámetros'!D16/(1+2^(-'⚙ Parámetros'!C16*(M67-'⚙ Parámetros'!B16))),'⚙ Parámetros'!G16/(1+2^(-'⚙ Parámetros'!F16*(M67-'⚙ Parámetros'!E16))),1)),0)</f>
        <v>1.4000000000000001</v>
      </c>
      <c r="AD67" s="80">
        <f>IFERROR((30/100*MAX('⚙ Parámetros'!D17/(1+2^(-'⚙ Parámetros'!C17*(N67-'⚙ Parámetros'!B17))),'⚙ Parámetros'!G17/(1+2^(-'⚙ Parámetros'!F17*(N67-'⚙ Parámetros'!E17))),1)*N67+25/100*MAX('⚙ Parámetros'!D17/(1+2^(-'⚙ Parámetros'!C17*(O67-'⚙ Parámetros'!B17))),'⚙ Parámetros'!G17/(1+2^(-'⚙ Parámetros'!F17*(O67-'⚙ Parámetros'!E17))),1)*O67+25/100*MAX('⚙ Parámetros'!D17/(1+2^(-'⚙ Parámetros'!C17*(P67-'⚙ Parámetros'!B17))),'⚙ Parámetros'!G17/(1+2^(-'⚙ Parámetros'!F17*(P67-'⚙ Parámetros'!E17))),1)*P67+20/100*MAX('⚙ Parámetros'!D17/(1+2^(-'⚙ Parámetros'!C17*(Q67-'⚙ Parámetros'!B17))),'⚙ Parámetros'!G17/(1+2^(-'⚙ Parámetros'!F17*(Q67-'⚙ Parámetros'!E17))),1)*Q67)/(30/100*MAX('⚙ Parámetros'!D17/(1+2^(-'⚙ Parámetros'!C17*(N67-'⚙ Parámetros'!B17))),'⚙ Parámetros'!G17/(1+2^(-'⚙ Parámetros'!F17*(N67-'⚙ Parámetros'!E17))),1)+25/100*MAX('⚙ Parámetros'!D17/(1+2^(-'⚙ Parámetros'!C17*(O67-'⚙ Parámetros'!B17))),'⚙ Parámetros'!G17/(1+2^(-'⚙ Parámetros'!F17*(O67-'⚙ Parámetros'!E17))),1)+25/100*MAX('⚙ Parámetros'!D17/(1+2^(-'⚙ Parámetros'!C17*(P67-'⚙ Parámetros'!B17))),'⚙ Parámetros'!G17/(1+2^(-'⚙ Parámetros'!F17*(P67-'⚙ Parámetros'!E17))),1)+20/100*MAX('⚙ Parámetros'!D17/(1+2^(-'⚙ Parámetros'!C17*(Q67-'⚙ Parámetros'!B17))),'⚙ Parámetros'!G17/(1+2^(-'⚙ Parámetros'!F17*(Q67-'⚙ Parámetros'!E17))),1)),0)</f>
        <v>1</v>
      </c>
      <c r="AE67" s="80">
        <f>IFERROR((30/100*MAX('⚙ Parámetros'!D18/(1+2^(-'⚙ Parámetros'!C18*(R67-'⚙ Parámetros'!B18))),'⚙ Parámetros'!G18/(1+2^(-'⚙ Parámetros'!F18*(R67-'⚙ Parámetros'!E18))),1)*R67+30/100*MAX('⚙ Parámetros'!D18/(1+2^(-'⚙ Parámetros'!C18*(S67-'⚙ Parámetros'!B18))),'⚙ Parámetros'!G18/(1+2^(-'⚙ Parámetros'!F18*(S67-'⚙ Parámetros'!E18))),1)*S67+20/100*MAX('⚙ Parámetros'!D18/(1+2^(-'⚙ Parámetros'!C18*(T67-'⚙ Parámetros'!B18))),'⚙ Parámetros'!G18/(1+2^(-'⚙ Parámetros'!F18*(T67-'⚙ Parámetros'!E18))),1)*T67+20/100*MAX('⚙ Parámetros'!D18/(1+2^(-'⚙ Parámetros'!C18*(U67-'⚙ Parámetros'!B18))),'⚙ Parámetros'!G18/(1+2^(-'⚙ Parámetros'!F18*(U67-'⚙ Parámetros'!E18))),1)*U67)/(30/100*MAX('⚙ Parámetros'!D18/(1+2^(-'⚙ Parámetros'!C18*(R67-'⚙ Parámetros'!B18))),'⚙ Parámetros'!G18/(1+2^(-'⚙ Parámetros'!F18*(R67-'⚙ Parámetros'!E18))),1)+30/100*MAX('⚙ Parámetros'!D18/(1+2^(-'⚙ Parámetros'!C18*(S67-'⚙ Parámetros'!B18))),'⚙ Parámetros'!G18/(1+2^(-'⚙ Parámetros'!F18*(S67-'⚙ Parámetros'!E18))),1)+20/100*MAX('⚙ Parámetros'!D18/(1+2^(-'⚙ Parámetros'!C18*(T67-'⚙ Parámetros'!B18))),'⚙ Parámetros'!G18/(1+2^(-'⚙ Parámetros'!F18*(T67-'⚙ Parámetros'!E18))),1)+20/100*MAX('⚙ Parámetros'!D18/(1+2^(-'⚙ Parámetros'!C18*(U67-'⚙ Parámetros'!B18))),'⚙ Parámetros'!G18/(1+2^(-'⚙ Parámetros'!F18*(U67-'⚙ Parámetros'!E18))),1)),0)</f>
        <v>5</v>
      </c>
      <c r="AF67" s="80">
        <f>IFERROR((30/100*MAX('⚙ Parámetros'!D19/(1+2^(-'⚙ Parámetros'!C19*(V67-'⚙ Parámetros'!B19))),'⚙ Parámetros'!G19/(1+2^(-'⚙ Parámetros'!F19*(V67-'⚙ Parámetros'!E19))),1)*V67+35/100*MAX('⚙ Parámetros'!D19/(1+2^(-'⚙ Parámetros'!C19*(W67-'⚙ Parámetros'!B19))),'⚙ Parámetros'!G19/(1+2^(-'⚙ Parámetros'!F19*(W67-'⚙ Parámetros'!E19))),1)*W67+35/100*MAX('⚙ Parámetros'!D19/(1+2^(-'⚙ Parámetros'!C19*(X67-'⚙ Parámetros'!B19))),'⚙ Parámetros'!G19/(1+2^(-'⚙ Parámetros'!F19*(X67-'⚙ Parámetros'!E19))),1)*X67)/(30/100*MAX('⚙ Parámetros'!D19/(1+2^(-'⚙ Parámetros'!C19*(V67-'⚙ Parámetros'!B19))),'⚙ Parámetros'!G19/(1+2^(-'⚙ Parámetros'!F19*(V67-'⚙ Parámetros'!E19))),1)+35/100*MAX('⚙ Parámetros'!D19/(1+2^(-'⚙ Parámetros'!C19*(W67-'⚙ Parámetros'!B19))),'⚙ Parámetros'!G19/(1+2^(-'⚙ Parámetros'!F19*(W67-'⚙ Parámetros'!E19))),1)+35/100*MAX('⚙ Parámetros'!D19/(1+2^(-'⚙ Parámetros'!C19*(X67-'⚙ Parámetros'!B19))),'⚙ Parámetros'!G19/(1+2^(-'⚙ Parámetros'!F19*(X67-'⚙ Parámetros'!E19))),1)),0)</f>
        <v>5.7368421052631575</v>
      </c>
      <c r="AG67" s="80">
        <f>IFERROR((35/100*MAX('⚙ Parámetros'!D20/(1+2^(-'⚙ Parámetros'!C20*(Y67-'⚙ Parámetros'!B20))),'⚙ Parámetros'!G20/(1+2^(-'⚙ Parámetros'!F20*(Y67-'⚙ Parámetros'!E20))),1)*Y67+35/100*MAX('⚙ Parámetros'!D20/(1+2^(-'⚙ Parámetros'!C20*(Z67-'⚙ Parámetros'!B20))),'⚙ Parámetros'!G20/(1+2^(-'⚙ Parámetros'!F20*(Z67-'⚙ Parámetros'!E20))),1)*Z67+30/100*MAX('⚙ Parámetros'!D20/(1+2^(-'⚙ Parámetros'!C20*(AA67-'⚙ Parámetros'!B20))),'⚙ Parámetros'!G20/(1+2^(-'⚙ Parámetros'!F20*(AA67-'⚙ Parámetros'!E20))),1)*AA67)/(35/100*MAX('⚙ Parámetros'!D20/(1+2^(-'⚙ Parámetros'!C20*(Y67-'⚙ Parámetros'!B20))),'⚙ Parámetros'!G20/(1+2^(-'⚙ Parámetros'!F20*(Y67-'⚙ Parámetros'!E20))),1)+35/100*MAX('⚙ Parámetros'!D20/(1+2^(-'⚙ Parámetros'!C20*(Z67-'⚙ Parámetros'!B20))),'⚙ Parámetros'!G20/(1+2^(-'⚙ Parámetros'!F20*(Z67-'⚙ Parámetros'!E20))),1)+30/100*MAX('⚙ Parámetros'!D20/(1+2^(-'⚙ Parámetros'!C20*(AA67-'⚙ Parámetros'!B20))),'⚙ Parámetros'!G20/(1+2^(-'⚙ Parámetros'!F20*(AA67-'⚙ Parámetros'!E20))),1)),0)</f>
        <v>6.5555555555555554</v>
      </c>
      <c r="AH67" s="81">
        <f>('⚙ Parámetros'!B5/100*AB67+'⚙ Parámetros'!B6/100*AC67+'⚙ Parámetros'!B7/100*AD67+'⚙ Parámetros'!B8/100*AE67+'⚙ Parámetros'!B9/100*AF67+'⚙ Parámetros'!B10/100*AG67)</f>
        <v>4.1083173342160446</v>
      </c>
      <c r="AI67" s="33">
        <f ca="1">MIN(1+MAX(0,TODAY()-DATE(2025,5,29))/365*'⚙ Parámetros'!B33,'⚙ Parámetros'!B34)</f>
        <v>1.1557534246575343</v>
      </c>
      <c r="AJ67" s="82">
        <f t="shared" ca="1" si="2"/>
        <v>4.7482018286001058</v>
      </c>
      <c r="AK67" s="83" t="str">
        <f ca="1">IF(AB67&gt;='⚙ Parámetros'!B23,"⚑ AUTO-PRIOR.(D1≥8)",IF(AJ67&gt;='⚙ Parámetros'!B23,"PRIORITARIO",IF(AJ67&gt;='⚙ Parámetros'!B24,"ALTA PRIORIDAD",IF(AJ67&gt;='⚙ Parámetros'!B25,"PRIORIDAD MEDIA",IF(AJ67&gt;='⚙ Parámetros'!B26,"BAJA PRIORIDAD","DESCARTAR")))))</f>
        <v>BAJA PRIORIDAD</v>
      </c>
      <c r="AL67" s="84" t="str">
        <f t="shared" si="3"/>
        <v>—</v>
      </c>
      <c r="AM67" s="85">
        <v>30</v>
      </c>
      <c r="AN67" s="83" t="str">
        <f>IF(AM67="","—",IF(AM67&lt;'⚙ Parámetros'!B29,"🟢 Corto",IF(AM67&lt;'⚙ Parámetros'!B30,"🟡 Medio","🔴 Largo")))</f>
        <v>🟡 Medio</v>
      </c>
    </row>
    <row r="68" spans="1:40" ht="18.75" customHeight="1" x14ac:dyDescent="0.25">
      <c r="A68" s="69">
        <v>64</v>
      </c>
      <c r="B68" s="30" t="s">
        <v>268</v>
      </c>
      <c r="C68" s="26" t="s">
        <v>147</v>
      </c>
      <c r="D68" s="71" t="s">
        <v>139</v>
      </c>
      <c r="E68" s="72" t="s">
        <v>269</v>
      </c>
      <c r="F68" s="74">
        <v>1</v>
      </c>
      <c r="G68" s="74">
        <v>1</v>
      </c>
      <c r="H68" s="86">
        <v>5</v>
      </c>
      <c r="I68" s="74">
        <v>1</v>
      </c>
      <c r="J68" s="74">
        <v>1</v>
      </c>
      <c r="K68" s="74">
        <v>1</v>
      </c>
      <c r="L68" s="74">
        <v>1</v>
      </c>
      <c r="M68" s="86">
        <v>3</v>
      </c>
      <c r="N68" s="86">
        <v>7</v>
      </c>
      <c r="O68" s="74">
        <v>1</v>
      </c>
      <c r="P68" s="74">
        <v>1</v>
      </c>
      <c r="Q68" s="86">
        <v>6</v>
      </c>
      <c r="R68" s="76">
        <v>9</v>
      </c>
      <c r="S68" s="76">
        <v>9</v>
      </c>
      <c r="T68" s="86">
        <v>5</v>
      </c>
      <c r="U68" s="86">
        <v>5</v>
      </c>
      <c r="V68" s="77">
        <v>8</v>
      </c>
      <c r="W68" s="86">
        <v>6</v>
      </c>
      <c r="X68" s="77">
        <v>9</v>
      </c>
      <c r="Y68" s="86">
        <v>4</v>
      </c>
      <c r="Z68" s="74">
        <v>2</v>
      </c>
      <c r="AA68" s="86">
        <v>5</v>
      </c>
      <c r="AB68" s="89">
        <f>IFERROR((30/100*MAX('⚙ Parámetros'!D15/(1+2^(-'⚙ Parámetros'!C15*(F68-'⚙ Parámetros'!B15))),'⚙ Parámetros'!G15/(1+2^(-'⚙ Parámetros'!F15*(F68-'⚙ Parámetros'!E15))),1)*F68+30/100*MAX('⚙ Parámetros'!D15/(1+2^(-'⚙ Parámetros'!C15*(G68-'⚙ Parámetros'!B15))),'⚙ Parámetros'!G15/(1+2^(-'⚙ Parámetros'!F15*(G68-'⚙ Parámetros'!E15))),1)*G68+20/100*MAX('⚙ Parámetros'!D15/(1+2^(-'⚙ Parámetros'!C15*(H68-'⚙ Parámetros'!B15))),'⚙ Parámetros'!G15/(1+2^(-'⚙ Parámetros'!F15*(H68-'⚙ Parámetros'!E15))),1)*H68+20/100*MAX('⚙ Parámetros'!D15/(1+2^(-'⚙ Parámetros'!C15*(I68-'⚙ Parámetros'!B15))),'⚙ Parámetros'!G15/(1+2^(-'⚙ Parámetros'!F15*(I68-'⚙ Parámetros'!E15))),1)*I68)/(30/100*MAX('⚙ Parámetros'!D15/(1+2^(-'⚙ Parámetros'!C15*(F68-'⚙ Parámetros'!B15))),'⚙ Parámetros'!G15/(1+2^(-'⚙ Parámetros'!F15*(F68-'⚙ Parámetros'!E15))),1)+30/100*MAX('⚙ Parámetros'!D15/(1+2^(-'⚙ Parámetros'!C15*(G68-'⚙ Parámetros'!B15))),'⚙ Parámetros'!G15/(1+2^(-'⚙ Parámetros'!F15*(G68-'⚙ Parámetros'!E15))),1)+20/100*MAX('⚙ Parámetros'!D15/(1+2^(-'⚙ Parámetros'!C15*(H68-'⚙ Parámetros'!B15))),'⚙ Parámetros'!G15/(1+2^(-'⚙ Parámetros'!F15*(H68-'⚙ Parámetros'!E15))),1)+20/100*MAX('⚙ Parámetros'!D15/(1+2^(-'⚙ Parámetros'!C15*(I68-'⚙ Parámetros'!B15))),'⚙ Parámetros'!G15/(1+2^(-'⚙ Parámetros'!F15*(I68-'⚙ Parámetros'!E15))),1)),0)</f>
        <v>2.1428571428571428</v>
      </c>
      <c r="AC68" s="89">
        <f>IFERROR((35/100*MAX('⚙ Parámetros'!D16/(1+2^(-'⚙ Parámetros'!C16*(J68-'⚙ Parámetros'!B16))),'⚙ Parámetros'!G16/(1+2^(-'⚙ Parámetros'!F16*(J68-'⚙ Parámetros'!E16))),1)*J68+25/100*MAX('⚙ Parámetros'!D16/(1+2^(-'⚙ Parámetros'!C16*(K68-'⚙ Parámetros'!B16))),'⚙ Parámetros'!G16/(1+2^(-'⚙ Parámetros'!F16*(K68-'⚙ Parámetros'!E16))),1)*K68+20/100*MAX('⚙ Parámetros'!D16/(1+2^(-'⚙ Parámetros'!C16*(L68-'⚙ Parámetros'!B16))),'⚙ Parámetros'!G16/(1+2^(-'⚙ Parámetros'!F16*(L68-'⚙ Parámetros'!E16))),1)*L68+20/100*MAX('⚙ Parámetros'!D16/(1+2^(-'⚙ Parámetros'!C16*(M68-'⚙ Parámetros'!B16))),'⚙ Parámetros'!G16/(1+2^(-'⚙ Parámetros'!F16*(M68-'⚙ Parámetros'!E16))),1)*M68)/(35/100*MAX('⚙ Parámetros'!D16/(1+2^(-'⚙ Parámetros'!C16*(J68-'⚙ Parámetros'!B16))),'⚙ Parámetros'!G16/(1+2^(-'⚙ Parámetros'!F16*(J68-'⚙ Parámetros'!E16))),1)+25/100*MAX('⚙ Parámetros'!D16/(1+2^(-'⚙ Parámetros'!C16*(K68-'⚙ Parámetros'!B16))),'⚙ Parámetros'!G16/(1+2^(-'⚙ Parámetros'!F16*(K68-'⚙ Parámetros'!E16))),1)+20/100*MAX('⚙ Parámetros'!D16/(1+2^(-'⚙ Parámetros'!C16*(L68-'⚙ Parámetros'!B16))),'⚙ Parámetros'!G16/(1+2^(-'⚙ Parámetros'!F16*(L68-'⚙ Parámetros'!E16))),1)+20/100*MAX('⚙ Parámetros'!D16/(1+2^(-'⚙ Parámetros'!C16*(M68-'⚙ Parámetros'!B16))),'⚙ Parámetros'!G16/(1+2^(-'⚙ Parámetros'!F16*(M68-'⚙ Parámetros'!E16))),1)),0)</f>
        <v>1.4000000000000001</v>
      </c>
      <c r="AD68" s="89">
        <f>IFERROR((30/100*MAX('⚙ Parámetros'!D17/(1+2^(-'⚙ Parámetros'!C17*(N68-'⚙ Parámetros'!B17))),'⚙ Parámetros'!G17/(1+2^(-'⚙ Parámetros'!F17*(N68-'⚙ Parámetros'!E17))),1)*N68+25/100*MAX('⚙ Parámetros'!D17/(1+2^(-'⚙ Parámetros'!C17*(O68-'⚙ Parámetros'!B17))),'⚙ Parámetros'!G17/(1+2^(-'⚙ Parámetros'!F17*(O68-'⚙ Parámetros'!E17))),1)*O68+25/100*MAX('⚙ Parámetros'!D17/(1+2^(-'⚙ Parámetros'!C17*(P68-'⚙ Parámetros'!B17))),'⚙ Parámetros'!G17/(1+2^(-'⚙ Parámetros'!F17*(P68-'⚙ Parámetros'!E17))),1)*P68+20/100*MAX('⚙ Parámetros'!D17/(1+2^(-'⚙ Parámetros'!C17*(Q68-'⚙ Parámetros'!B17))),'⚙ Parámetros'!G17/(1+2^(-'⚙ Parámetros'!F17*(Q68-'⚙ Parámetros'!E17))),1)*Q68)/(30/100*MAX('⚙ Parámetros'!D17/(1+2^(-'⚙ Parámetros'!C17*(N68-'⚙ Parámetros'!B17))),'⚙ Parámetros'!G17/(1+2^(-'⚙ Parámetros'!F17*(N68-'⚙ Parámetros'!E17))),1)+25/100*MAX('⚙ Parámetros'!D17/(1+2^(-'⚙ Parámetros'!C17*(O68-'⚙ Parámetros'!B17))),'⚙ Parámetros'!G17/(1+2^(-'⚙ Parámetros'!F17*(O68-'⚙ Parámetros'!E17))),1)+25/100*MAX('⚙ Parámetros'!D17/(1+2^(-'⚙ Parámetros'!C17*(P68-'⚙ Parámetros'!B17))),'⚙ Parámetros'!G17/(1+2^(-'⚙ Parámetros'!F17*(P68-'⚙ Parámetros'!E17))),1)+20/100*MAX('⚙ Parámetros'!D17/(1+2^(-'⚙ Parámetros'!C17*(Q68-'⚙ Parámetros'!B17))),'⚙ Parámetros'!G17/(1+2^(-'⚙ Parámetros'!F17*(Q68-'⚙ Parámetros'!E17))),1)),0)</f>
        <v>5.0449438202247201</v>
      </c>
      <c r="AE68" s="89">
        <f>IFERROR((30/100*MAX('⚙ Parámetros'!D18/(1+2^(-'⚙ Parámetros'!C18*(R68-'⚙ Parámetros'!B18))),'⚙ Parámetros'!G18/(1+2^(-'⚙ Parámetros'!F18*(R68-'⚙ Parámetros'!E18))),1)*R68+30/100*MAX('⚙ Parámetros'!D18/(1+2^(-'⚙ Parámetros'!C18*(S68-'⚙ Parámetros'!B18))),'⚙ Parámetros'!G18/(1+2^(-'⚙ Parámetros'!F18*(S68-'⚙ Parámetros'!E18))),1)*S68+20/100*MAX('⚙ Parámetros'!D18/(1+2^(-'⚙ Parámetros'!C18*(T68-'⚙ Parámetros'!B18))),'⚙ Parámetros'!G18/(1+2^(-'⚙ Parámetros'!F18*(T68-'⚙ Parámetros'!E18))),1)*T68+20/100*MAX('⚙ Parámetros'!D18/(1+2^(-'⚙ Parámetros'!C18*(U68-'⚙ Parámetros'!B18))),'⚙ Parámetros'!G18/(1+2^(-'⚙ Parámetros'!F18*(U68-'⚙ Parámetros'!E18))),1)*U68)/(30/100*MAX('⚙ Parámetros'!D18/(1+2^(-'⚙ Parámetros'!C18*(R68-'⚙ Parámetros'!B18))),'⚙ Parámetros'!G18/(1+2^(-'⚙ Parámetros'!F18*(R68-'⚙ Parámetros'!E18))),1)+30/100*MAX('⚙ Parámetros'!D18/(1+2^(-'⚙ Parámetros'!C18*(S68-'⚙ Parámetros'!B18))),'⚙ Parámetros'!G18/(1+2^(-'⚙ Parámetros'!F18*(S68-'⚙ Parámetros'!E18))),1)+20/100*MAX('⚙ Parámetros'!D18/(1+2^(-'⚙ Parámetros'!C18*(T68-'⚙ Parámetros'!B18))),'⚙ Parámetros'!G18/(1+2^(-'⚙ Parámetros'!F18*(T68-'⚙ Parámetros'!E18))),1)+20/100*MAX('⚙ Parámetros'!D18/(1+2^(-'⚙ Parámetros'!C18*(U68-'⚙ Parámetros'!B18))),'⚙ Parámetros'!G18/(1+2^(-'⚙ Parámetros'!F18*(U68-'⚙ Parámetros'!E18))),1)),0)</f>
        <v>8.1801060365339655</v>
      </c>
      <c r="AF68" s="89">
        <f>IFERROR((30/100*MAX('⚙ Parámetros'!D19/(1+2^(-'⚙ Parámetros'!C19*(V68-'⚙ Parámetros'!B19))),'⚙ Parámetros'!G19/(1+2^(-'⚙ Parámetros'!F19*(V68-'⚙ Parámetros'!E19))),1)*V68+35/100*MAX('⚙ Parámetros'!D19/(1+2^(-'⚙ Parámetros'!C19*(W68-'⚙ Parámetros'!B19))),'⚙ Parámetros'!G19/(1+2^(-'⚙ Parámetros'!F19*(W68-'⚙ Parámetros'!E19))),1)*W68+35/100*MAX('⚙ Parámetros'!D19/(1+2^(-'⚙ Parámetros'!C19*(X68-'⚙ Parámetros'!B19))),'⚙ Parámetros'!G19/(1+2^(-'⚙ Parámetros'!F19*(X68-'⚙ Parámetros'!E19))),1)*X68)/(30/100*MAX('⚙ Parámetros'!D19/(1+2^(-'⚙ Parámetros'!C19*(V68-'⚙ Parámetros'!B19))),'⚙ Parámetros'!G19/(1+2^(-'⚙ Parámetros'!F19*(V68-'⚙ Parámetros'!E19))),1)+35/100*MAX('⚙ Parámetros'!D19/(1+2^(-'⚙ Parámetros'!C19*(W68-'⚙ Parámetros'!B19))),'⚙ Parámetros'!G19/(1+2^(-'⚙ Parámetros'!F19*(W68-'⚙ Parámetros'!E19))),1)+35/100*MAX('⚙ Parámetros'!D19/(1+2^(-'⚙ Parámetros'!C19*(X68-'⚙ Parámetros'!B19))),'⚙ Parámetros'!G19/(1+2^(-'⚙ Parámetros'!F19*(X68-'⚙ Parámetros'!E19))),1)),0)</f>
        <v>8.0351483057098907</v>
      </c>
      <c r="AG68" s="89">
        <f>IFERROR((35/100*MAX('⚙ Parámetros'!D20/(1+2^(-'⚙ Parámetros'!C20*(Y68-'⚙ Parámetros'!B20))),'⚙ Parámetros'!G20/(1+2^(-'⚙ Parámetros'!F20*(Y68-'⚙ Parámetros'!E20))),1)*Y68+35/100*MAX('⚙ Parámetros'!D20/(1+2^(-'⚙ Parámetros'!C20*(Z68-'⚙ Parámetros'!B20))),'⚙ Parámetros'!G20/(1+2^(-'⚙ Parámetros'!F20*(Z68-'⚙ Parámetros'!E20))),1)*Z68+30/100*MAX('⚙ Parámetros'!D20/(1+2^(-'⚙ Parámetros'!C20*(AA68-'⚙ Parámetros'!B20))),'⚙ Parámetros'!G20/(1+2^(-'⚙ Parámetros'!F20*(AA68-'⚙ Parámetros'!E20))),1)*AA68)/(35/100*MAX('⚙ Parámetros'!D20/(1+2^(-'⚙ Parámetros'!C20*(Y68-'⚙ Parámetros'!B20))),'⚙ Parámetros'!G20/(1+2^(-'⚙ Parámetros'!F20*(Y68-'⚙ Parámetros'!E20))),1)+35/100*MAX('⚙ Parámetros'!D20/(1+2^(-'⚙ Parámetros'!C20*(Z68-'⚙ Parámetros'!B20))),'⚙ Parámetros'!G20/(1+2^(-'⚙ Parámetros'!F20*(Z68-'⚙ Parámetros'!E20))),1)+30/100*MAX('⚙ Parámetros'!D20/(1+2^(-'⚙ Parámetros'!C20*(AA68-'⚙ Parámetros'!B20))),'⚙ Parámetros'!G20/(1+2^(-'⚙ Parámetros'!F20*(AA68-'⚙ Parámetros'!E20))),1)),0)</f>
        <v>3.7272727272727275</v>
      </c>
      <c r="AH68" s="90">
        <f>('⚙ Parámetros'!B5/100*AB68+'⚙ Parámetros'!B6/100*AC68+'⚙ Parámetros'!B7/100*AD68+'⚙ Parámetros'!B8/100*AE68+'⚙ Parámetros'!B9/100*AF68+'⚙ Parámetros'!B10/100*AG68)</f>
        <v>4.0151552800389698</v>
      </c>
      <c r="AI68" s="91">
        <f ca="1">MIN(1+MAX(0,TODAY()-DATE(2026,2,5))/365*'⚙ Parámetros'!B33,'⚙ Parámetros'!B34)</f>
        <v>1.0521917808219179</v>
      </c>
      <c r="AJ68" s="82">
        <f t="shared" ca="1" si="2"/>
        <v>4.2247133843807303</v>
      </c>
      <c r="AK68" s="92" t="str">
        <f ca="1">IF(AB68&gt;='⚙ Parámetros'!B23,"⚑ AUTO-PRIOR.(D1≥8)",IF(AJ68&gt;='⚙ Parámetros'!B23,"PRIORITARIO",IF(AJ68&gt;='⚙ Parámetros'!B24,"ALTA PRIORIDAD",IF(AJ68&gt;='⚙ Parámetros'!B25,"PRIORIDAD MEDIA",IF(AJ68&gt;='⚙ Parámetros'!B26,"BAJA PRIORIDAD","DESCARTAR")))))</f>
        <v>BAJA PRIORIDAD</v>
      </c>
      <c r="AL68" s="69" t="str">
        <f t="shared" si="3"/>
        <v>—</v>
      </c>
      <c r="AM68" s="85">
        <v>14</v>
      </c>
      <c r="AN68" s="83" t="str">
        <f>IF(AM68="","—",IF(AM68&lt;'⚙ Parámetros'!B29,"🟢 Corto",IF(AM68&lt;'⚙ Parámetros'!B30,"🟡 Medio","🔴 Largo")))</f>
        <v>🟢 Corto</v>
      </c>
    </row>
    <row r="69" spans="1:40" ht="18.75" customHeight="1" x14ac:dyDescent="0.25">
      <c r="A69" s="69">
        <v>65</v>
      </c>
      <c r="B69" s="70" t="s">
        <v>270</v>
      </c>
      <c r="C69" s="4" t="s">
        <v>271</v>
      </c>
      <c r="D69" s="71" t="s">
        <v>136</v>
      </c>
      <c r="E69" s="72" t="s">
        <v>272</v>
      </c>
      <c r="F69" s="74">
        <v>1</v>
      </c>
      <c r="G69" s="74">
        <v>1</v>
      </c>
      <c r="H69" s="74">
        <v>1</v>
      </c>
      <c r="I69" s="74">
        <v>1</v>
      </c>
      <c r="J69" s="74">
        <v>1</v>
      </c>
      <c r="K69" s="74">
        <v>1</v>
      </c>
      <c r="L69" s="75">
        <v>8</v>
      </c>
      <c r="M69" s="73">
        <v>3</v>
      </c>
      <c r="N69" s="74">
        <v>1</v>
      </c>
      <c r="O69" s="73">
        <v>6</v>
      </c>
      <c r="P69" s="74">
        <v>1</v>
      </c>
      <c r="Q69" s="74">
        <v>1</v>
      </c>
      <c r="R69" s="76">
        <v>9</v>
      </c>
      <c r="S69" s="76">
        <v>9</v>
      </c>
      <c r="T69" s="73">
        <v>5</v>
      </c>
      <c r="U69" s="73">
        <v>5</v>
      </c>
      <c r="V69" s="77">
        <v>8</v>
      </c>
      <c r="W69" s="73">
        <v>6</v>
      </c>
      <c r="X69" s="77">
        <v>9</v>
      </c>
      <c r="Y69" s="73">
        <v>4</v>
      </c>
      <c r="Z69" s="74">
        <v>2</v>
      </c>
      <c r="AA69" s="73">
        <v>5</v>
      </c>
      <c r="AB69" s="80">
        <f>IFERROR((30/100*MAX('⚙ Parámetros'!D15/(1+2^(-'⚙ Parámetros'!C15*(F69-'⚙ Parámetros'!B15))),'⚙ Parámetros'!G15/(1+2^(-'⚙ Parámetros'!F15*(F69-'⚙ Parámetros'!E15))),1)*F69+30/100*MAX('⚙ Parámetros'!D15/(1+2^(-'⚙ Parámetros'!C15*(G69-'⚙ Parámetros'!B15))),'⚙ Parámetros'!G15/(1+2^(-'⚙ Parámetros'!F15*(G69-'⚙ Parámetros'!E15))),1)*G69+20/100*MAX('⚙ Parámetros'!D15/(1+2^(-'⚙ Parámetros'!C15*(H69-'⚙ Parámetros'!B15))),'⚙ Parámetros'!G15/(1+2^(-'⚙ Parámetros'!F15*(H69-'⚙ Parámetros'!E15))),1)*H69+20/100*MAX('⚙ Parámetros'!D15/(1+2^(-'⚙ Parámetros'!C15*(I69-'⚙ Parámetros'!B15))),'⚙ Parámetros'!G15/(1+2^(-'⚙ Parámetros'!F15*(I69-'⚙ Parámetros'!E15))),1)*I69)/(30/100*MAX('⚙ Parámetros'!D15/(1+2^(-'⚙ Parámetros'!C15*(F69-'⚙ Parámetros'!B15))),'⚙ Parámetros'!G15/(1+2^(-'⚙ Parámetros'!F15*(F69-'⚙ Parámetros'!E15))),1)+30/100*MAX('⚙ Parámetros'!D15/(1+2^(-'⚙ Parámetros'!C15*(G69-'⚙ Parámetros'!B15))),'⚙ Parámetros'!G15/(1+2^(-'⚙ Parámetros'!F15*(G69-'⚙ Parámetros'!E15))),1)+20/100*MAX('⚙ Parámetros'!D15/(1+2^(-'⚙ Parámetros'!C15*(H69-'⚙ Parámetros'!B15))),'⚙ Parámetros'!G15/(1+2^(-'⚙ Parámetros'!F15*(H69-'⚙ Parámetros'!E15))),1)+20/100*MAX('⚙ Parámetros'!D15/(1+2^(-'⚙ Parámetros'!C15*(I69-'⚙ Parámetros'!B15))),'⚙ Parámetros'!G15/(1+2^(-'⚙ Parámetros'!F15*(I69-'⚙ Parámetros'!E15))),1)),0)</f>
        <v>1</v>
      </c>
      <c r="AC69" s="80">
        <f>IFERROR((35/100*MAX('⚙ Parámetros'!D16/(1+2^(-'⚙ Parámetros'!C16*(J69-'⚙ Parámetros'!B16))),'⚙ Parámetros'!G16/(1+2^(-'⚙ Parámetros'!F16*(J69-'⚙ Parámetros'!E16))),1)*J69+25/100*MAX('⚙ Parámetros'!D16/(1+2^(-'⚙ Parámetros'!C16*(K69-'⚙ Parámetros'!B16))),'⚙ Parámetros'!G16/(1+2^(-'⚙ Parámetros'!F16*(K69-'⚙ Parámetros'!E16))),1)*K69+20/100*MAX('⚙ Parámetros'!D16/(1+2^(-'⚙ Parámetros'!C16*(L69-'⚙ Parámetros'!B16))),'⚙ Parámetros'!G16/(1+2^(-'⚙ Parámetros'!F16*(L69-'⚙ Parámetros'!E16))),1)*L69+20/100*MAX('⚙ Parámetros'!D16/(1+2^(-'⚙ Parámetros'!C16*(M69-'⚙ Parámetros'!B16))),'⚙ Parámetros'!G16/(1+2^(-'⚙ Parámetros'!F16*(M69-'⚙ Parámetros'!E16))),1)*M69)/(35/100*MAX('⚙ Parámetros'!D16/(1+2^(-'⚙ Parámetros'!C16*(J69-'⚙ Parámetros'!B16))),'⚙ Parámetros'!G16/(1+2^(-'⚙ Parámetros'!F16*(J69-'⚙ Parámetros'!E16))),1)+25/100*MAX('⚙ Parámetros'!D16/(1+2^(-'⚙ Parámetros'!C16*(K69-'⚙ Parámetros'!B16))),'⚙ Parámetros'!G16/(1+2^(-'⚙ Parámetros'!F16*(K69-'⚙ Parámetros'!E16))),1)+20/100*MAX('⚙ Parámetros'!D16/(1+2^(-'⚙ Parámetros'!C16*(L69-'⚙ Parámetros'!B16))),'⚙ Parámetros'!G16/(1+2^(-'⚙ Parámetros'!F16*(L69-'⚙ Parámetros'!E16))),1)+20/100*MAX('⚙ Parámetros'!D16/(1+2^(-'⚙ Parámetros'!C16*(M69-'⚙ Parámetros'!B16))),'⚙ Parámetros'!G16/(1+2^(-'⚙ Parámetros'!F16*(M69-'⚙ Parámetros'!E16))),1)),0)</f>
        <v>4.9411764705882355</v>
      </c>
      <c r="AD69" s="80">
        <f>IFERROR((30/100*MAX('⚙ Parámetros'!D17/(1+2^(-'⚙ Parámetros'!C17*(N69-'⚙ Parámetros'!B17))),'⚙ Parámetros'!G17/(1+2^(-'⚙ Parámetros'!F17*(N69-'⚙ Parámetros'!E17))),1)*N69+25/100*MAX('⚙ Parámetros'!D17/(1+2^(-'⚙ Parámetros'!C17*(O69-'⚙ Parámetros'!B17))),'⚙ Parámetros'!G17/(1+2^(-'⚙ Parámetros'!F17*(O69-'⚙ Parámetros'!E17))),1)*O69+25/100*MAX('⚙ Parámetros'!D17/(1+2^(-'⚙ Parámetros'!C17*(P69-'⚙ Parámetros'!B17))),'⚙ Parámetros'!G17/(1+2^(-'⚙ Parámetros'!F17*(P69-'⚙ Parámetros'!E17))),1)*P69+20/100*MAX('⚙ Parámetros'!D17/(1+2^(-'⚙ Parámetros'!C17*(Q69-'⚙ Parámetros'!B17))),'⚙ Parámetros'!G17/(1+2^(-'⚙ Parámetros'!F17*(Q69-'⚙ Parámetros'!E17))),1)*Q69)/(30/100*MAX('⚙ Parámetros'!D17/(1+2^(-'⚙ Parámetros'!C17*(N69-'⚙ Parámetros'!B17))),'⚙ Parámetros'!G17/(1+2^(-'⚙ Parámetros'!F17*(N69-'⚙ Parámetros'!E17))),1)+25/100*MAX('⚙ Parámetros'!D17/(1+2^(-'⚙ Parámetros'!C17*(O69-'⚙ Parámetros'!B17))),'⚙ Parámetros'!G17/(1+2^(-'⚙ Parámetros'!F17*(O69-'⚙ Parámetros'!E17))),1)+25/100*MAX('⚙ Parámetros'!D17/(1+2^(-'⚙ Parámetros'!C17*(P69-'⚙ Parámetros'!B17))),'⚙ Parámetros'!G17/(1+2^(-'⚙ Parámetros'!F17*(P69-'⚙ Parámetros'!E17))),1)+20/100*MAX('⚙ Parámetros'!D17/(1+2^(-'⚙ Parámetros'!C17*(Q69-'⚙ Parámetros'!B17))),'⚙ Parámetros'!G17/(1+2^(-'⚙ Parámetros'!F17*(Q69-'⚙ Parámetros'!E17))),1)),0)</f>
        <v>3.2222222222222223</v>
      </c>
      <c r="AE69" s="80">
        <f>IFERROR((30/100*MAX('⚙ Parámetros'!D18/(1+2^(-'⚙ Parámetros'!C18*(R69-'⚙ Parámetros'!B18))),'⚙ Parámetros'!G18/(1+2^(-'⚙ Parámetros'!F18*(R69-'⚙ Parámetros'!E18))),1)*R69+30/100*MAX('⚙ Parámetros'!D18/(1+2^(-'⚙ Parámetros'!C18*(S69-'⚙ Parámetros'!B18))),'⚙ Parámetros'!G18/(1+2^(-'⚙ Parámetros'!F18*(S69-'⚙ Parámetros'!E18))),1)*S69+20/100*MAX('⚙ Parámetros'!D18/(1+2^(-'⚙ Parámetros'!C18*(T69-'⚙ Parámetros'!B18))),'⚙ Parámetros'!G18/(1+2^(-'⚙ Parámetros'!F18*(T69-'⚙ Parámetros'!E18))),1)*T69+20/100*MAX('⚙ Parámetros'!D18/(1+2^(-'⚙ Parámetros'!C18*(U69-'⚙ Parámetros'!B18))),'⚙ Parámetros'!G18/(1+2^(-'⚙ Parámetros'!F18*(U69-'⚙ Parámetros'!E18))),1)*U69)/(30/100*MAX('⚙ Parámetros'!D18/(1+2^(-'⚙ Parámetros'!C18*(R69-'⚙ Parámetros'!B18))),'⚙ Parámetros'!G18/(1+2^(-'⚙ Parámetros'!F18*(R69-'⚙ Parámetros'!E18))),1)+30/100*MAX('⚙ Parámetros'!D18/(1+2^(-'⚙ Parámetros'!C18*(S69-'⚙ Parámetros'!B18))),'⚙ Parámetros'!G18/(1+2^(-'⚙ Parámetros'!F18*(S69-'⚙ Parámetros'!E18))),1)+20/100*MAX('⚙ Parámetros'!D18/(1+2^(-'⚙ Parámetros'!C18*(T69-'⚙ Parámetros'!B18))),'⚙ Parámetros'!G18/(1+2^(-'⚙ Parámetros'!F18*(T69-'⚙ Parámetros'!E18))),1)+20/100*MAX('⚙ Parámetros'!D18/(1+2^(-'⚙ Parámetros'!C18*(U69-'⚙ Parámetros'!B18))),'⚙ Parámetros'!G18/(1+2^(-'⚙ Parámetros'!F18*(U69-'⚙ Parámetros'!E18))),1)),0)</f>
        <v>8.1801060365339655</v>
      </c>
      <c r="AF69" s="80">
        <f>IFERROR((30/100*MAX('⚙ Parámetros'!D19/(1+2^(-'⚙ Parámetros'!C19*(V69-'⚙ Parámetros'!B19))),'⚙ Parámetros'!G19/(1+2^(-'⚙ Parámetros'!F19*(V69-'⚙ Parámetros'!E19))),1)*V69+35/100*MAX('⚙ Parámetros'!D19/(1+2^(-'⚙ Parámetros'!C19*(W69-'⚙ Parámetros'!B19))),'⚙ Parámetros'!G19/(1+2^(-'⚙ Parámetros'!F19*(W69-'⚙ Parámetros'!E19))),1)*W69+35/100*MAX('⚙ Parámetros'!D19/(1+2^(-'⚙ Parámetros'!C19*(X69-'⚙ Parámetros'!B19))),'⚙ Parámetros'!G19/(1+2^(-'⚙ Parámetros'!F19*(X69-'⚙ Parámetros'!E19))),1)*X69)/(30/100*MAX('⚙ Parámetros'!D19/(1+2^(-'⚙ Parámetros'!C19*(V69-'⚙ Parámetros'!B19))),'⚙ Parámetros'!G19/(1+2^(-'⚙ Parámetros'!F19*(V69-'⚙ Parámetros'!E19))),1)+35/100*MAX('⚙ Parámetros'!D19/(1+2^(-'⚙ Parámetros'!C19*(W69-'⚙ Parámetros'!B19))),'⚙ Parámetros'!G19/(1+2^(-'⚙ Parámetros'!F19*(W69-'⚙ Parámetros'!E19))),1)+35/100*MAX('⚙ Parámetros'!D19/(1+2^(-'⚙ Parámetros'!C19*(X69-'⚙ Parámetros'!B19))),'⚙ Parámetros'!G19/(1+2^(-'⚙ Parámetros'!F19*(X69-'⚙ Parámetros'!E19))),1)),0)</f>
        <v>8.0351483057098907</v>
      </c>
      <c r="AG69" s="80">
        <f>IFERROR((35/100*MAX('⚙ Parámetros'!D20/(1+2^(-'⚙ Parámetros'!C20*(Y69-'⚙ Parámetros'!B20))),'⚙ Parámetros'!G20/(1+2^(-'⚙ Parámetros'!F20*(Y69-'⚙ Parámetros'!E20))),1)*Y69+35/100*MAX('⚙ Parámetros'!D20/(1+2^(-'⚙ Parámetros'!C20*(Z69-'⚙ Parámetros'!B20))),'⚙ Parámetros'!G20/(1+2^(-'⚙ Parámetros'!F20*(Z69-'⚙ Parámetros'!E20))),1)*Z69+30/100*MAX('⚙ Parámetros'!D20/(1+2^(-'⚙ Parámetros'!C20*(AA69-'⚙ Parámetros'!B20))),'⚙ Parámetros'!G20/(1+2^(-'⚙ Parámetros'!F20*(AA69-'⚙ Parámetros'!E20))),1)*AA69)/(35/100*MAX('⚙ Parámetros'!D20/(1+2^(-'⚙ Parámetros'!C20*(Y69-'⚙ Parámetros'!B20))),'⚙ Parámetros'!G20/(1+2^(-'⚙ Parámetros'!F20*(Y69-'⚙ Parámetros'!E20))),1)+35/100*MAX('⚙ Parámetros'!D20/(1+2^(-'⚙ Parámetros'!C20*(Z69-'⚙ Parámetros'!B20))),'⚙ Parámetros'!G20/(1+2^(-'⚙ Parámetros'!F20*(Z69-'⚙ Parámetros'!E20))),1)+30/100*MAX('⚙ Parámetros'!D20/(1+2^(-'⚙ Parámetros'!C20*(AA69-'⚙ Parámetros'!B20))),'⚙ Parámetros'!G20/(1+2^(-'⚙ Parámetros'!F20*(AA69-'⚙ Parámetros'!E20))),1)),0)</f>
        <v>3.7272727272727275</v>
      </c>
      <c r="AH69" s="81">
        <f>('⚙ Parámetros'!B5/100*AB69+'⚙ Parámetros'!B6/100*AC69+'⚙ Parámetros'!B7/100*AD69+'⚙ Parámetros'!B8/100*AE69+'⚙ Parámetros'!B9/100*AF69+'⚙ Parámetros'!B10/100*AG69)</f>
        <v>4.0159891116989748</v>
      </c>
      <c r="AI69" s="33">
        <f ca="1">MIN(1+MAX(0,TODAY()-DATE(2025,10,16))/365*'⚙ Parámetros'!B33,'⚙ Parámetros'!B34)</f>
        <v>1.0982191780821917</v>
      </c>
      <c r="AJ69" s="82">
        <f t="shared" ref="AJ69:AJ100" ca="1" si="4">IFERROR(MIN(AH69*AI69,10),0)</f>
        <v>4.4104362614370789</v>
      </c>
      <c r="AK69" s="83" t="str">
        <f ca="1">IF(AB69&gt;='⚙ Parámetros'!B23,"⚑ AUTO-PRIOR.(D1≥8)",IF(AJ69&gt;='⚙ Parámetros'!B23,"PRIORITARIO",IF(AJ69&gt;='⚙ Parámetros'!B24,"ALTA PRIORIDAD",IF(AJ69&gt;='⚙ Parámetros'!B25,"PRIORIDAD MEDIA",IF(AJ69&gt;='⚙ Parámetros'!B26,"BAJA PRIORIDAD","DESCARTAR")))))</f>
        <v>BAJA PRIORIDAD</v>
      </c>
      <c r="AL69" s="84" t="str">
        <f t="shared" ref="AL69:AL100" si="5">IF(AB69&gt;=8,"SÍ ⚑","—")</f>
        <v>—</v>
      </c>
      <c r="AM69" s="85">
        <v>26</v>
      </c>
      <c r="AN69" s="83" t="str">
        <f>IF(AM69="","—",IF(AM69&lt;'⚙ Parámetros'!B29,"🟢 Corto",IF(AM69&lt;'⚙ Parámetros'!B30,"🟡 Medio","🔴 Largo")))</f>
        <v>🟢 Corto</v>
      </c>
    </row>
    <row r="70" spans="1:40" ht="18.75" customHeight="1" x14ac:dyDescent="0.25">
      <c r="A70" s="69">
        <v>66</v>
      </c>
      <c r="B70" s="30" t="s">
        <v>273</v>
      </c>
      <c r="C70" s="26" t="s">
        <v>147</v>
      </c>
      <c r="D70" s="71" t="s">
        <v>274</v>
      </c>
      <c r="E70" s="72" t="s">
        <v>229</v>
      </c>
      <c r="F70" s="74">
        <v>1</v>
      </c>
      <c r="G70" s="74">
        <v>1</v>
      </c>
      <c r="H70" s="74">
        <v>1</v>
      </c>
      <c r="I70" s="74">
        <v>1</v>
      </c>
      <c r="J70" s="86">
        <v>7</v>
      </c>
      <c r="K70" s="74">
        <v>1</v>
      </c>
      <c r="L70" s="75">
        <v>8</v>
      </c>
      <c r="M70" s="86">
        <v>3</v>
      </c>
      <c r="N70" s="86">
        <v>7</v>
      </c>
      <c r="O70" s="74">
        <v>1</v>
      </c>
      <c r="P70" s="74">
        <v>1</v>
      </c>
      <c r="Q70" s="74">
        <v>1</v>
      </c>
      <c r="R70" s="86">
        <v>5</v>
      </c>
      <c r="S70" s="86">
        <v>5</v>
      </c>
      <c r="T70" s="86">
        <v>5</v>
      </c>
      <c r="U70" s="86">
        <v>5</v>
      </c>
      <c r="V70" s="77">
        <v>8</v>
      </c>
      <c r="W70" s="86">
        <v>6</v>
      </c>
      <c r="X70" s="86">
        <v>3</v>
      </c>
      <c r="Y70" s="86">
        <v>4</v>
      </c>
      <c r="Z70" s="74">
        <v>2</v>
      </c>
      <c r="AA70" s="86">
        <v>5</v>
      </c>
      <c r="AB70" s="89">
        <f>IFERROR((30/100*MAX('⚙ Parámetros'!D15/(1+2^(-'⚙ Parámetros'!C15*(F70-'⚙ Parámetros'!B15))),'⚙ Parámetros'!G15/(1+2^(-'⚙ Parámetros'!F15*(F70-'⚙ Parámetros'!E15))),1)*F70+30/100*MAX('⚙ Parámetros'!D15/(1+2^(-'⚙ Parámetros'!C15*(G70-'⚙ Parámetros'!B15))),'⚙ Parámetros'!G15/(1+2^(-'⚙ Parámetros'!F15*(G70-'⚙ Parámetros'!E15))),1)*G70+20/100*MAX('⚙ Parámetros'!D15/(1+2^(-'⚙ Parámetros'!C15*(H70-'⚙ Parámetros'!B15))),'⚙ Parámetros'!G15/(1+2^(-'⚙ Parámetros'!F15*(H70-'⚙ Parámetros'!E15))),1)*H70+20/100*MAX('⚙ Parámetros'!D15/(1+2^(-'⚙ Parámetros'!C15*(I70-'⚙ Parámetros'!B15))),'⚙ Parámetros'!G15/(1+2^(-'⚙ Parámetros'!F15*(I70-'⚙ Parámetros'!E15))),1)*I70)/(30/100*MAX('⚙ Parámetros'!D15/(1+2^(-'⚙ Parámetros'!C15*(F70-'⚙ Parámetros'!B15))),'⚙ Parámetros'!G15/(1+2^(-'⚙ Parámetros'!F15*(F70-'⚙ Parámetros'!E15))),1)+30/100*MAX('⚙ Parámetros'!D15/(1+2^(-'⚙ Parámetros'!C15*(G70-'⚙ Parámetros'!B15))),'⚙ Parámetros'!G15/(1+2^(-'⚙ Parámetros'!F15*(G70-'⚙ Parámetros'!E15))),1)+20/100*MAX('⚙ Parámetros'!D15/(1+2^(-'⚙ Parámetros'!C15*(H70-'⚙ Parámetros'!B15))),'⚙ Parámetros'!G15/(1+2^(-'⚙ Parámetros'!F15*(H70-'⚙ Parámetros'!E15))),1)+20/100*MAX('⚙ Parámetros'!D15/(1+2^(-'⚙ Parámetros'!C15*(I70-'⚙ Parámetros'!B15))),'⚙ Parámetros'!G15/(1+2^(-'⚙ Parámetros'!F15*(I70-'⚙ Parámetros'!E15))),1)),0)</f>
        <v>1</v>
      </c>
      <c r="AC70" s="89">
        <f>IFERROR((35/100*MAX('⚙ Parámetros'!D16/(1+2^(-'⚙ Parámetros'!C16*(J70-'⚙ Parámetros'!B16))),'⚙ Parámetros'!G16/(1+2^(-'⚙ Parámetros'!F16*(J70-'⚙ Parámetros'!E16))),1)*J70+25/100*MAX('⚙ Parámetros'!D16/(1+2^(-'⚙ Parámetros'!C16*(K70-'⚙ Parámetros'!B16))),'⚙ Parámetros'!G16/(1+2^(-'⚙ Parámetros'!F16*(K70-'⚙ Parámetros'!E16))),1)*K70+20/100*MAX('⚙ Parámetros'!D16/(1+2^(-'⚙ Parámetros'!C16*(L70-'⚙ Parámetros'!B16))),'⚙ Parámetros'!G16/(1+2^(-'⚙ Parámetros'!F16*(L70-'⚙ Parámetros'!E16))),1)*L70+20/100*MAX('⚙ Parámetros'!D16/(1+2^(-'⚙ Parámetros'!C16*(M70-'⚙ Parámetros'!B16))),'⚙ Parámetros'!G16/(1+2^(-'⚙ Parámetros'!F16*(M70-'⚙ Parámetros'!E16))),1)*M70)/(35/100*MAX('⚙ Parámetros'!D16/(1+2^(-'⚙ Parámetros'!C16*(J70-'⚙ Parámetros'!B16))),'⚙ Parámetros'!G16/(1+2^(-'⚙ Parámetros'!F16*(J70-'⚙ Parámetros'!E16))),1)+25/100*MAX('⚙ Parámetros'!D16/(1+2^(-'⚙ Parámetros'!C16*(K70-'⚙ Parámetros'!B16))),'⚙ Parámetros'!G16/(1+2^(-'⚙ Parámetros'!F16*(K70-'⚙ Parámetros'!E16))),1)+20/100*MAX('⚙ Parámetros'!D16/(1+2^(-'⚙ Parámetros'!C16*(L70-'⚙ Parámetros'!B16))),'⚙ Parámetros'!G16/(1+2^(-'⚙ Parámetros'!F16*(L70-'⚙ Parámetros'!E16))),1)+20/100*MAX('⚙ Parámetros'!D16/(1+2^(-'⚙ Parámetros'!C16*(M70-'⚙ Parámetros'!B16))),'⚙ Parámetros'!G16/(1+2^(-'⚙ Parámetros'!F16*(M70-'⚙ Parámetros'!E16))),1)),0)</f>
        <v>6.3868613138686126</v>
      </c>
      <c r="AD70" s="89">
        <f>IFERROR((30/100*MAX('⚙ Parámetros'!D17/(1+2^(-'⚙ Parámetros'!C17*(N70-'⚙ Parámetros'!B17))),'⚙ Parámetros'!G17/(1+2^(-'⚙ Parámetros'!F17*(N70-'⚙ Parámetros'!E17))),1)*N70+25/100*MAX('⚙ Parámetros'!D17/(1+2^(-'⚙ Parámetros'!C17*(O70-'⚙ Parámetros'!B17))),'⚙ Parámetros'!G17/(1+2^(-'⚙ Parámetros'!F17*(O70-'⚙ Parámetros'!E17))),1)*O70+25/100*MAX('⚙ Parámetros'!D17/(1+2^(-'⚙ Parámetros'!C17*(P70-'⚙ Parámetros'!B17))),'⚙ Parámetros'!G17/(1+2^(-'⚙ Parámetros'!F17*(P70-'⚙ Parámetros'!E17))),1)*P70+20/100*MAX('⚙ Parámetros'!D17/(1+2^(-'⚙ Parámetros'!C17*(Q70-'⚙ Parámetros'!B17))),'⚙ Parámetros'!G17/(1+2^(-'⚙ Parámetros'!F17*(Q70-'⚙ Parámetros'!E17))),1)*Q70)/(30/100*MAX('⚙ Parámetros'!D17/(1+2^(-'⚙ Parámetros'!C17*(N70-'⚙ Parámetros'!B17))),'⚙ Parámetros'!G17/(1+2^(-'⚙ Parámetros'!F17*(N70-'⚙ Parámetros'!E17))),1)+25/100*MAX('⚙ Parámetros'!D17/(1+2^(-'⚙ Parámetros'!C17*(O70-'⚙ Parámetros'!B17))),'⚙ Parámetros'!G17/(1+2^(-'⚙ Parámetros'!F17*(O70-'⚙ Parámetros'!E17))),1)+25/100*MAX('⚙ Parámetros'!D17/(1+2^(-'⚙ Parámetros'!C17*(P70-'⚙ Parámetros'!B17))),'⚙ Parámetros'!G17/(1+2^(-'⚙ Parámetros'!F17*(P70-'⚙ Parámetros'!E17))),1)+20/100*MAX('⚙ Parámetros'!D17/(1+2^(-'⚙ Parámetros'!C17*(Q70-'⚙ Parámetros'!B17))),'⚙ Parámetros'!G17/(1+2^(-'⚙ Parámetros'!F17*(Q70-'⚙ Parámetros'!E17))),1)),0)</f>
        <v>4.2</v>
      </c>
      <c r="AE70" s="89">
        <f>IFERROR((30/100*MAX('⚙ Parámetros'!D18/(1+2^(-'⚙ Parámetros'!C18*(R70-'⚙ Parámetros'!B18))),'⚙ Parámetros'!G18/(1+2^(-'⚙ Parámetros'!F18*(R70-'⚙ Parámetros'!E18))),1)*R70+30/100*MAX('⚙ Parámetros'!D18/(1+2^(-'⚙ Parámetros'!C18*(S70-'⚙ Parámetros'!B18))),'⚙ Parámetros'!G18/(1+2^(-'⚙ Parámetros'!F18*(S70-'⚙ Parámetros'!E18))),1)*S70+20/100*MAX('⚙ Parámetros'!D18/(1+2^(-'⚙ Parámetros'!C18*(T70-'⚙ Parámetros'!B18))),'⚙ Parámetros'!G18/(1+2^(-'⚙ Parámetros'!F18*(T70-'⚙ Parámetros'!E18))),1)*T70+20/100*MAX('⚙ Parámetros'!D18/(1+2^(-'⚙ Parámetros'!C18*(U70-'⚙ Parámetros'!B18))),'⚙ Parámetros'!G18/(1+2^(-'⚙ Parámetros'!F18*(U70-'⚙ Parámetros'!E18))),1)*U70)/(30/100*MAX('⚙ Parámetros'!D18/(1+2^(-'⚙ Parámetros'!C18*(R70-'⚙ Parámetros'!B18))),'⚙ Parámetros'!G18/(1+2^(-'⚙ Parámetros'!F18*(R70-'⚙ Parámetros'!E18))),1)+30/100*MAX('⚙ Parámetros'!D18/(1+2^(-'⚙ Parámetros'!C18*(S70-'⚙ Parámetros'!B18))),'⚙ Parámetros'!G18/(1+2^(-'⚙ Parámetros'!F18*(S70-'⚙ Parámetros'!E18))),1)+20/100*MAX('⚙ Parámetros'!D18/(1+2^(-'⚙ Parámetros'!C18*(T70-'⚙ Parámetros'!B18))),'⚙ Parámetros'!G18/(1+2^(-'⚙ Parámetros'!F18*(T70-'⚙ Parámetros'!E18))),1)+20/100*MAX('⚙ Parámetros'!D18/(1+2^(-'⚙ Parámetros'!C18*(U70-'⚙ Parámetros'!B18))),'⚙ Parámetros'!G18/(1+2^(-'⚙ Parámetros'!F18*(U70-'⚙ Parámetros'!E18))),1)),0)</f>
        <v>5</v>
      </c>
      <c r="AF70" s="89">
        <f>IFERROR((30/100*MAX('⚙ Parámetros'!D19/(1+2^(-'⚙ Parámetros'!C19*(V70-'⚙ Parámetros'!B19))),'⚙ Parámetros'!G19/(1+2^(-'⚙ Parámetros'!F19*(V70-'⚙ Parámetros'!E19))),1)*V70+35/100*MAX('⚙ Parámetros'!D19/(1+2^(-'⚙ Parámetros'!C19*(W70-'⚙ Parámetros'!B19))),'⚙ Parámetros'!G19/(1+2^(-'⚙ Parámetros'!F19*(W70-'⚙ Parámetros'!E19))),1)*W70+35/100*MAX('⚙ Parámetros'!D19/(1+2^(-'⚙ Parámetros'!C19*(X70-'⚙ Parámetros'!B19))),'⚙ Parámetros'!G19/(1+2^(-'⚙ Parámetros'!F19*(X70-'⚙ Parámetros'!E19))),1)*X70)/(30/100*MAX('⚙ Parámetros'!D19/(1+2^(-'⚙ Parámetros'!C19*(V70-'⚙ Parámetros'!B19))),'⚙ Parámetros'!G19/(1+2^(-'⚙ Parámetros'!F19*(V70-'⚙ Parámetros'!E19))),1)+35/100*MAX('⚙ Parámetros'!D19/(1+2^(-'⚙ Parámetros'!C19*(W70-'⚙ Parámetros'!B19))),'⚙ Parámetros'!G19/(1+2^(-'⚙ Parámetros'!F19*(W70-'⚙ Parámetros'!E19))),1)+35/100*MAX('⚙ Parámetros'!D19/(1+2^(-'⚙ Parámetros'!C19*(X70-'⚙ Parámetros'!B19))),'⚙ Parámetros'!G19/(1+2^(-'⚙ Parámetros'!F19*(X70-'⚙ Parámetros'!E19))),1)),0)</f>
        <v>6.46875</v>
      </c>
      <c r="AG70" s="89">
        <f>IFERROR((35/100*MAX('⚙ Parámetros'!D20/(1+2^(-'⚙ Parámetros'!C20*(Y70-'⚙ Parámetros'!B20))),'⚙ Parámetros'!G20/(1+2^(-'⚙ Parámetros'!F20*(Y70-'⚙ Parámetros'!E20))),1)*Y70+35/100*MAX('⚙ Parámetros'!D20/(1+2^(-'⚙ Parámetros'!C20*(Z70-'⚙ Parámetros'!B20))),'⚙ Parámetros'!G20/(1+2^(-'⚙ Parámetros'!F20*(Z70-'⚙ Parámetros'!E20))),1)*Z70+30/100*MAX('⚙ Parámetros'!D20/(1+2^(-'⚙ Parámetros'!C20*(AA70-'⚙ Parámetros'!B20))),'⚙ Parámetros'!G20/(1+2^(-'⚙ Parámetros'!F20*(AA70-'⚙ Parámetros'!E20))),1)*AA70)/(35/100*MAX('⚙ Parámetros'!D20/(1+2^(-'⚙ Parámetros'!C20*(Y70-'⚙ Parámetros'!B20))),'⚙ Parámetros'!G20/(1+2^(-'⚙ Parámetros'!F20*(Y70-'⚙ Parámetros'!E20))),1)+35/100*MAX('⚙ Parámetros'!D20/(1+2^(-'⚙ Parámetros'!C20*(Z70-'⚙ Parámetros'!B20))),'⚙ Parámetros'!G20/(1+2^(-'⚙ Parámetros'!F20*(Z70-'⚙ Parámetros'!E20))),1)+30/100*MAX('⚙ Parámetros'!D20/(1+2^(-'⚙ Parámetros'!C20*(AA70-'⚙ Parámetros'!B20))),'⚙ Parámetros'!G20/(1+2^(-'⚙ Parámetros'!F20*(AA70-'⚙ Parámetros'!E20))),1)),0)</f>
        <v>3.7272727272727275</v>
      </c>
      <c r="AH70" s="90">
        <f>('⚙ Parámetros'!B5/100*AB70+'⚙ Parámetros'!B6/100*AC70+'⚙ Parámetros'!B7/100*AD70+'⚙ Parámetros'!B8/100*AE70+'⚙ Parámetros'!B9/100*AF70+'⚙ Parámetros'!B10/100*AG70)</f>
        <v>3.9624290809555411</v>
      </c>
      <c r="AI70" s="91">
        <f ca="1">MIN(1+MAX(0,TODAY()-DATE(2026,2,23))/365*'⚙ Parámetros'!B33,'⚙ Parámetros'!B34)</f>
        <v>1.0447945205479452</v>
      </c>
      <c r="AJ70" s="82">
        <f t="shared" ca="1" si="4"/>
        <v>4.1399241918421801</v>
      </c>
      <c r="AK70" s="92" t="str">
        <f ca="1">IF(AB70&gt;='⚙ Parámetros'!B23,"⚑ AUTO-PRIOR.(D1≥8)",IF(AJ70&gt;='⚙ Parámetros'!B23,"PRIORITARIO",IF(AJ70&gt;='⚙ Parámetros'!B24,"ALTA PRIORIDAD",IF(AJ70&gt;='⚙ Parámetros'!B25,"PRIORIDAD MEDIA",IF(AJ70&gt;='⚙ Parámetros'!B26,"BAJA PRIORIDAD","DESCARTAR")))))</f>
        <v>BAJA PRIORIDAD</v>
      </c>
      <c r="AL70" s="69" t="str">
        <f t="shared" si="5"/>
        <v>—</v>
      </c>
      <c r="AM70" s="85">
        <v>18</v>
      </c>
      <c r="AN70" s="83" t="str">
        <f>IF(AM70="","—",IF(AM70&lt;'⚙ Parámetros'!B29,"🟢 Corto",IF(AM70&lt;'⚙ Parámetros'!B30,"🟡 Medio","🔴 Largo")))</f>
        <v>🟢 Corto</v>
      </c>
    </row>
    <row r="71" spans="1:40" ht="18.75" customHeight="1" x14ac:dyDescent="0.25">
      <c r="A71" s="69">
        <v>67</v>
      </c>
      <c r="B71" s="70" t="s">
        <v>275</v>
      </c>
      <c r="C71" s="4" t="s">
        <v>147</v>
      </c>
      <c r="D71" s="71" t="s">
        <v>139</v>
      </c>
      <c r="E71" s="72" t="s">
        <v>156</v>
      </c>
      <c r="F71" s="74">
        <v>1</v>
      </c>
      <c r="G71" s="74">
        <v>1</v>
      </c>
      <c r="H71" s="73">
        <v>5</v>
      </c>
      <c r="I71" s="74">
        <v>1</v>
      </c>
      <c r="J71" s="74">
        <v>1</v>
      </c>
      <c r="K71" s="74">
        <v>1</v>
      </c>
      <c r="L71" s="74">
        <v>1</v>
      </c>
      <c r="M71" s="73">
        <v>3</v>
      </c>
      <c r="N71" s="73">
        <v>7</v>
      </c>
      <c r="O71" s="73">
        <v>6</v>
      </c>
      <c r="P71" s="73">
        <v>7</v>
      </c>
      <c r="Q71" s="73">
        <v>6</v>
      </c>
      <c r="R71" s="73">
        <v>5</v>
      </c>
      <c r="S71" s="73">
        <v>5</v>
      </c>
      <c r="T71" s="73">
        <v>5</v>
      </c>
      <c r="U71" s="73">
        <v>5</v>
      </c>
      <c r="V71" s="77">
        <v>8</v>
      </c>
      <c r="W71" s="73">
        <v>6</v>
      </c>
      <c r="X71" s="77">
        <v>9</v>
      </c>
      <c r="Y71" s="73">
        <v>4</v>
      </c>
      <c r="Z71" s="74">
        <v>2</v>
      </c>
      <c r="AA71" s="73">
        <v>5</v>
      </c>
      <c r="AB71" s="80">
        <f>IFERROR((30/100*MAX('⚙ Parámetros'!D15/(1+2^(-'⚙ Parámetros'!C15*(F71-'⚙ Parámetros'!B15))),'⚙ Parámetros'!G15/(1+2^(-'⚙ Parámetros'!F15*(F71-'⚙ Parámetros'!E15))),1)*F71+30/100*MAX('⚙ Parámetros'!D15/(1+2^(-'⚙ Parámetros'!C15*(G71-'⚙ Parámetros'!B15))),'⚙ Parámetros'!G15/(1+2^(-'⚙ Parámetros'!F15*(G71-'⚙ Parámetros'!E15))),1)*G71+20/100*MAX('⚙ Parámetros'!D15/(1+2^(-'⚙ Parámetros'!C15*(H71-'⚙ Parámetros'!B15))),'⚙ Parámetros'!G15/(1+2^(-'⚙ Parámetros'!F15*(H71-'⚙ Parámetros'!E15))),1)*H71+20/100*MAX('⚙ Parámetros'!D15/(1+2^(-'⚙ Parámetros'!C15*(I71-'⚙ Parámetros'!B15))),'⚙ Parámetros'!G15/(1+2^(-'⚙ Parámetros'!F15*(I71-'⚙ Parámetros'!E15))),1)*I71)/(30/100*MAX('⚙ Parámetros'!D15/(1+2^(-'⚙ Parámetros'!C15*(F71-'⚙ Parámetros'!B15))),'⚙ Parámetros'!G15/(1+2^(-'⚙ Parámetros'!F15*(F71-'⚙ Parámetros'!E15))),1)+30/100*MAX('⚙ Parámetros'!D15/(1+2^(-'⚙ Parámetros'!C15*(G71-'⚙ Parámetros'!B15))),'⚙ Parámetros'!G15/(1+2^(-'⚙ Parámetros'!F15*(G71-'⚙ Parámetros'!E15))),1)+20/100*MAX('⚙ Parámetros'!D15/(1+2^(-'⚙ Parámetros'!C15*(H71-'⚙ Parámetros'!B15))),'⚙ Parámetros'!G15/(1+2^(-'⚙ Parámetros'!F15*(H71-'⚙ Parámetros'!E15))),1)+20/100*MAX('⚙ Parámetros'!D15/(1+2^(-'⚙ Parámetros'!C15*(I71-'⚙ Parámetros'!B15))),'⚙ Parámetros'!G15/(1+2^(-'⚙ Parámetros'!F15*(I71-'⚙ Parámetros'!E15))),1)),0)</f>
        <v>2.1428571428571428</v>
      </c>
      <c r="AC71" s="80">
        <f>IFERROR((35/100*MAX('⚙ Parámetros'!D16/(1+2^(-'⚙ Parámetros'!C16*(J71-'⚙ Parámetros'!B16))),'⚙ Parámetros'!G16/(1+2^(-'⚙ Parámetros'!F16*(J71-'⚙ Parámetros'!E16))),1)*J71+25/100*MAX('⚙ Parámetros'!D16/(1+2^(-'⚙ Parámetros'!C16*(K71-'⚙ Parámetros'!B16))),'⚙ Parámetros'!G16/(1+2^(-'⚙ Parámetros'!F16*(K71-'⚙ Parámetros'!E16))),1)*K71+20/100*MAX('⚙ Parámetros'!D16/(1+2^(-'⚙ Parámetros'!C16*(L71-'⚙ Parámetros'!B16))),'⚙ Parámetros'!G16/(1+2^(-'⚙ Parámetros'!F16*(L71-'⚙ Parámetros'!E16))),1)*L71+20/100*MAX('⚙ Parámetros'!D16/(1+2^(-'⚙ Parámetros'!C16*(M71-'⚙ Parámetros'!B16))),'⚙ Parámetros'!G16/(1+2^(-'⚙ Parámetros'!F16*(M71-'⚙ Parámetros'!E16))),1)*M71)/(35/100*MAX('⚙ Parámetros'!D16/(1+2^(-'⚙ Parámetros'!C16*(J71-'⚙ Parámetros'!B16))),'⚙ Parámetros'!G16/(1+2^(-'⚙ Parámetros'!F16*(J71-'⚙ Parámetros'!E16))),1)+25/100*MAX('⚙ Parámetros'!D16/(1+2^(-'⚙ Parámetros'!C16*(K71-'⚙ Parámetros'!B16))),'⚙ Parámetros'!G16/(1+2^(-'⚙ Parámetros'!F16*(K71-'⚙ Parámetros'!E16))),1)+20/100*MAX('⚙ Parámetros'!D16/(1+2^(-'⚙ Parámetros'!C16*(L71-'⚙ Parámetros'!B16))),'⚙ Parámetros'!G16/(1+2^(-'⚙ Parámetros'!F16*(L71-'⚙ Parámetros'!E16))),1)+20/100*MAX('⚙ Parámetros'!D16/(1+2^(-'⚙ Parámetros'!C16*(M71-'⚙ Parámetros'!B16))),'⚙ Parámetros'!G16/(1+2^(-'⚙ Parámetros'!F16*(M71-'⚙ Parámetros'!E16))),1)),0)</f>
        <v>1.4000000000000001</v>
      </c>
      <c r="AD71" s="80">
        <f>IFERROR((30/100*MAX('⚙ Parámetros'!D17/(1+2^(-'⚙ Parámetros'!C17*(N71-'⚙ Parámetros'!B17))),'⚙ Parámetros'!G17/(1+2^(-'⚙ Parámetros'!F17*(N71-'⚙ Parámetros'!E17))),1)*N71+25/100*MAX('⚙ Parámetros'!D17/(1+2^(-'⚙ Parámetros'!C17*(O71-'⚙ Parámetros'!B17))),'⚙ Parámetros'!G17/(1+2^(-'⚙ Parámetros'!F17*(O71-'⚙ Parámetros'!E17))),1)*O71+25/100*MAX('⚙ Parámetros'!D17/(1+2^(-'⚙ Parámetros'!C17*(P71-'⚙ Parámetros'!B17))),'⚙ Parámetros'!G17/(1+2^(-'⚙ Parámetros'!F17*(P71-'⚙ Parámetros'!E17))),1)*P71+20/100*MAX('⚙ Parámetros'!D17/(1+2^(-'⚙ Parámetros'!C17*(Q71-'⚙ Parámetros'!B17))),'⚙ Parámetros'!G17/(1+2^(-'⚙ Parámetros'!F17*(Q71-'⚙ Parámetros'!E17))),1)*Q71)/(30/100*MAX('⚙ Parámetros'!D17/(1+2^(-'⚙ Parámetros'!C17*(N71-'⚙ Parámetros'!B17))),'⚙ Parámetros'!G17/(1+2^(-'⚙ Parámetros'!F17*(N71-'⚙ Parámetros'!E17))),1)+25/100*MAX('⚙ Parámetros'!D17/(1+2^(-'⚙ Parámetros'!C17*(O71-'⚙ Parámetros'!B17))),'⚙ Parámetros'!G17/(1+2^(-'⚙ Parámetros'!F17*(O71-'⚙ Parámetros'!E17))),1)+25/100*MAX('⚙ Parámetros'!D17/(1+2^(-'⚙ Parámetros'!C17*(P71-'⚙ Parámetros'!B17))),'⚙ Parámetros'!G17/(1+2^(-'⚙ Parámetros'!F17*(P71-'⚙ Parámetros'!E17))),1)+20/100*MAX('⚙ Parámetros'!D17/(1+2^(-'⚙ Parámetros'!C17*(Q71-'⚙ Parámetros'!B17))),'⚙ Parámetros'!G17/(1+2^(-'⚙ Parámetros'!F17*(Q71-'⚙ Parámetros'!E17))),1)),0)</f>
        <v>6.5759162303664924</v>
      </c>
      <c r="AE71" s="80">
        <f>IFERROR((30/100*MAX('⚙ Parámetros'!D18/(1+2^(-'⚙ Parámetros'!C18*(R71-'⚙ Parámetros'!B18))),'⚙ Parámetros'!G18/(1+2^(-'⚙ Parámetros'!F18*(R71-'⚙ Parámetros'!E18))),1)*R71+30/100*MAX('⚙ Parámetros'!D18/(1+2^(-'⚙ Parámetros'!C18*(S71-'⚙ Parámetros'!B18))),'⚙ Parámetros'!G18/(1+2^(-'⚙ Parámetros'!F18*(S71-'⚙ Parámetros'!E18))),1)*S71+20/100*MAX('⚙ Parámetros'!D18/(1+2^(-'⚙ Parámetros'!C18*(T71-'⚙ Parámetros'!B18))),'⚙ Parámetros'!G18/(1+2^(-'⚙ Parámetros'!F18*(T71-'⚙ Parámetros'!E18))),1)*T71+20/100*MAX('⚙ Parámetros'!D18/(1+2^(-'⚙ Parámetros'!C18*(U71-'⚙ Parámetros'!B18))),'⚙ Parámetros'!G18/(1+2^(-'⚙ Parámetros'!F18*(U71-'⚙ Parámetros'!E18))),1)*U71)/(30/100*MAX('⚙ Parámetros'!D18/(1+2^(-'⚙ Parámetros'!C18*(R71-'⚙ Parámetros'!B18))),'⚙ Parámetros'!G18/(1+2^(-'⚙ Parámetros'!F18*(R71-'⚙ Parámetros'!E18))),1)+30/100*MAX('⚙ Parámetros'!D18/(1+2^(-'⚙ Parámetros'!C18*(S71-'⚙ Parámetros'!B18))),'⚙ Parámetros'!G18/(1+2^(-'⚙ Parámetros'!F18*(S71-'⚙ Parámetros'!E18))),1)+20/100*MAX('⚙ Parámetros'!D18/(1+2^(-'⚙ Parámetros'!C18*(T71-'⚙ Parámetros'!B18))),'⚙ Parámetros'!G18/(1+2^(-'⚙ Parámetros'!F18*(T71-'⚙ Parámetros'!E18))),1)+20/100*MAX('⚙ Parámetros'!D18/(1+2^(-'⚙ Parámetros'!C18*(U71-'⚙ Parámetros'!B18))),'⚙ Parámetros'!G18/(1+2^(-'⚙ Parámetros'!F18*(U71-'⚙ Parámetros'!E18))),1)),0)</f>
        <v>5</v>
      </c>
      <c r="AF71" s="80">
        <f>IFERROR((30/100*MAX('⚙ Parámetros'!D19/(1+2^(-'⚙ Parámetros'!C19*(V71-'⚙ Parámetros'!B19))),'⚙ Parámetros'!G19/(1+2^(-'⚙ Parámetros'!F19*(V71-'⚙ Parámetros'!E19))),1)*V71+35/100*MAX('⚙ Parámetros'!D19/(1+2^(-'⚙ Parámetros'!C19*(W71-'⚙ Parámetros'!B19))),'⚙ Parámetros'!G19/(1+2^(-'⚙ Parámetros'!F19*(W71-'⚙ Parámetros'!E19))),1)*W71+35/100*MAX('⚙ Parámetros'!D19/(1+2^(-'⚙ Parámetros'!C19*(X71-'⚙ Parámetros'!B19))),'⚙ Parámetros'!G19/(1+2^(-'⚙ Parámetros'!F19*(X71-'⚙ Parámetros'!E19))),1)*X71)/(30/100*MAX('⚙ Parámetros'!D19/(1+2^(-'⚙ Parámetros'!C19*(V71-'⚙ Parámetros'!B19))),'⚙ Parámetros'!G19/(1+2^(-'⚙ Parámetros'!F19*(V71-'⚙ Parámetros'!E19))),1)+35/100*MAX('⚙ Parámetros'!D19/(1+2^(-'⚙ Parámetros'!C19*(W71-'⚙ Parámetros'!B19))),'⚙ Parámetros'!G19/(1+2^(-'⚙ Parámetros'!F19*(W71-'⚙ Parámetros'!E19))),1)+35/100*MAX('⚙ Parámetros'!D19/(1+2^(-'⚙ Parámetros'!C19*(X71-'⚙ Parámetros'!B19))),'⚙ Parámetros'!G19/(1+2^(-'⚙ Parámetros'!F19*(X71-'⚙ Parámetros'!E19))),1)),0)</f>
        <v>8.0351483057098907</v>
      </c>
      <c r="AG71" s="80">
        <f>IFERROR((35/100*MAX('⚙ Parámetros'!D20/(1+2^(-'⚙ Parámetros'!C20*(Y71-'⚙ Parámetros'!B20))),'⚙ Parámetros'!G20/(1+2^(-'⚙ Parámetros'!F20*(Y71-'⚙ Parámetros'!E20))),1)*Y71+35/100*MAX('⚙ Parámetros'!D20/(1+2^(-'⚙ Parámetros'!C20*(Z71-'⚙ Parámetros'!B20))),'⚙ Parámetros'!G20/(1+2^(-'⚙ Parámetros'!F20*(Z71-'⚙ Parámetros'!E20))),1)*Z71+30/100*MAX('⚙ Parámetros'!D20/(1+2^(-'⚙ Parámetros'!C20*(AA71-'⚙ Parámetros'!B20))),'⚙ Parámetros'!G20/(1+2^(-'⚙ Parámetros'!F20*(AA71-'⚙ Parámetros'!E20))),1)*AA71)/(35/100*MAX('⚙ Parámetros'!D20/(1+2^(-'⚙ Parámetros'!C20*(Y71-'⚙ Parámetros'!B20))),'⚙ Parámetros'!G20/(1+2^(-'⚙ Parámetros'!F20*(Y71-'⚙ Parámetros'!E20))),1)+35/100*MAX('⚙ Parámetros'!D20/(1+2^(-'⚙ Parámetros'!C20*(Z71-'⚙ Parámetros'!B20))),'⚙ Parámetros'!G20/(1+2^(-'⚙ Parámetros'!F20*(Z71-'⚙ Parámetros'!E20))),1)+30/100*MAX('⚙ Parámetros'!D20/(1+2^(-'⚙ Parámetros'!C20*(AA71-'⚙ Parámetros'!B20))),'⚙ Parámetros'!G20/(1+2^(-'⚙ Parámetros'!F20*(AA71-'⚙ Parámetros'!E20))),1)),0)</f>
        <v>3.7272727272727275</v>
      </c>
      <c r="AH71" s="81">
        <f>('⚙ Parámetros'!B5/100*AB71+'⚙ Parámetros'!B6/100*AC71+'⚙ Parámetros'!B7/100*AD71+'⚙ Parámetros'!B8/100*AE71+'⚙ Parámetros'!B9/100*AF71+'⚙ Parámetros'!B10/100*AG71)</f>
        <v>3.939737037683249</v>
      </c>
      <c r="AI71" s="33">
        <f ca="1">MIN(1+MAX(0,TODAY()-DATE(2026,5,14))/365*'⚙ Parámetros'!B33,'⚙ Parámetros'!B34)</f>
        <v>1.011917808219178</v>
      </c>
      <c r="AJ71" s="82">
        <f t="shared" ca="1" si="4"/>
        <v>3.9866900681323503</v>
      </c>
      <c r="AK71" s="83" t="str">
        <f ca="1">IF(AB71&gt;='⚙ Parámetros'!B23,"⚑ AUTO-PRIOR.(D1≥8)",IF(AJ71&gt;='⚙ Parámetros'!B23,"PRIORITARIO",IF(AJ71&gt;='⚙ Parámetros'!B24,"ALTA PRIORIDAD",IF(AJ71&gt;='⚙ Parámetros'!B25,"PRIORIDAD MEDIA",IF(AJ71&gt;='⚙ Parámetros'!B26,"BAJA PRIORIDAD","DESCARTAR")))))</f>
        <v>DESCARTAR</v>
      </c>
      <c r="AL71" s="84" t="str">
        <f t="shared" si="5"/>
        <v>—</v>
      </c>
      <c r="AM71" s="85">
        <v>31</v>
      </c>
      <c r="AN71" s="83" t="str">
        <f>IF(AM71="","—",IF(AM71&lt;'⚙ Parámetros'!B29,"🟢 Corto",IF(AM71&lt;'⚙ Parámetros'!B30,"🟡 Medio","🔴 Largo")))</f>
        <v>🟡 Medio</v>
      </c>
    </row>
    <row r="72" spans="1:40" ht="18.75" customHeight="1" x14ac:dyDescent="0.25">
      <c r="A72" s="69">
        <v>68</v>
      </c>
      <c r="B72" s="30" t="s">
        <v>276</v>
      </c>
      <c r="C72" s="26" t="s">
        <v>135</v>
      </c>
      <c r="D72" s="71" t="s">
        <v>179</v>
      </c>
      <c r="E72" s="72" t="s">
        <v>180</v>
      </c>
      <c r="F72" s="74">
        <v>1</v>
      </c>
      <c r="G72" s="86">
        <v>7</v>
      </c>
      <c r="H72" s="86">
        <v>5</v>
      </c>
      <c r="I72" s="74">
        <v>1</v>
      </c>
      <c r="J72" s="74">
        <v>1</v>
      </c>
      <c r="K72" s="74">
        <v>1</v>
      </c>
      <c r="L72" s="74">
        <v>1</v>
      </c>
      <c r="M72" s="86">
        <v>3</v>
      </c>
      <c r="N72" s="74">
        <v>1</v>
      </c>
      <c r="O72" s="74">
        <v>1</v>
      </c>
      <c r="P72" s="74">
        <v>1</v>
      </c>
      <c r="Q72" s="86">
        <v>6</v>
      </c>
      <c r="R72" s="86">
        <v>5</v>
      </c>
      <c r="S72" s="86">
        <v>5</v>
      </c>
      <c r="T72" s="86">
        <v>5</v>
      </c>
      <c r="U72" s="86">
        <v>5</v>
      </c>
      <c r="V72" s="86">
        <v>5</v>
      </c>
      <c r="W72" s="86">
        <v>6</v>
      </c>
      <c r="X72" s="86">
        <v>6</v>
      </c>
      <c r="Y72" s="86">
        <v>4</v>
      </c>
      <c r="Z72" s="74">
        <v>2</v>
      </c>
      <c r="AA72" s="86">
        <v>5</v>
      </c>
      <c r="AB72" s="89">
        <f>IFERROR((30/100*MAX('⚙ Parámetros'!D15/(1+2^(-'⚙ Parámetros'!C15*(F72-'⚙ Parámetros'!B15))),'⚙ Parámetros'!G15/(1+2^(-'⚙ Parámetros'!F15*(F72-'⚙ Parámetros'!E15))),1)*F72+30/100*MAX('⚙ Parámetros'!D15/(1+2^(-'⚙ Parámetros'!C15*(G72-'⚙ Parámetros'!B15))),'⚙ Parámetros'!G15/(1+2^(-'⚙ Parámetros'!F15*(G72-'⚙ Parámetros'!E15))),1)*G72+20/100*MAX('⚙ Parámetros'!D15/(1+2^(-'⚙ Parámetros'!C15*(H72-'⚙ Parámetros'!B15))),'⚙ Parámetros'!G15/(1+2^(-'⚙ Parámetros'!F15*(H72-'⚙ Parámetros'!E15))),1)*H72+20/100*MAX('⚙ Parámetros'!D15/(1+2^(-'⚙ Parámetros'!C15*(I72-'⚙ Parámetros'!B15))),'⚙ Parámetros'!G15/(1+2^(-'⚙ Parámetros'!F15*(I72-'⚙ Parámetros'!E15))),1)*I72)/(30/100*MAX('⚙ Parámetros'!D15/(1+2^(-'⚙ Parámetros'!C15*(F72-'⚙ Parámetros'!B15))),'⚙ Parámetros'!G15/(1+2^(-'⚙ Parámetros'!F15*(F72-'⚙ Parámetros'!E15))),1)+30/100*MAX('⚙ Parámetros'!D15/(1+2^(-'⚙ Parámetros'!C15*(G72-'⚙ Parámetros'!B15))),'⚙ Parámetros'!G15/(1+2^(-'⚙ Parámetros'!F15*(G72-'⚙ Parámetros'!E15))),1)+20/100*MAX('⚙ Parámetros'!D15/(1+2^(-'⚙ Parámetros'!C15*(H72-'⚙ Parámetros'!B15))),'⚙ Parámetros'!G15/(1+2^(-'⚙ Parámetros'!F15*(H72-'⚙ Parámetros'!E15))),1)+20/100*MAX('⚙ Parámetros'!D15/(1+2^(-'⚙ Parámetros'!C15*(I72-'⚙ Parámetros'!B15))),'⚙ Parámetros'!G15/(1+2^(-'⚙ Parámetros'!F15*(I72-'⚙ Parámetros'!E15))),1)),0)</f>
        <v>5.32258064516129</v>
      </c>
      <c r="AC72" s="89">
        <f>IFERROR((35/100*MAX('⚙ Parámetros'!D16/(1+2^(-'⚙ Parámetros'!C16*(J72-'⚙ Parámetros'!B16))),'⚙ Parámetros'!G16/(1+2^(-'⚙ Parámetros'!F16*(J72-'⚙ Parámetros'!E16))),1)*J72+25/100*MAX('⚙ Parámetros'!D16/(1+2^(-'⚙ Parámetros'!C16*(K72-'⚙ Parámetros'!B16))),'⚙ Parámetros'!G16/(1+2^(-'⚙ Parámetros'!F16*(K72-'⚙ Parámetros'!E16))),1)*K72+20/100*MAX('⚙ Parámetros'!D16/(1+2^(-'⚙ Parámetros'!C16*(L72-'⚙ Parámetros'!B16))),'⚙ Parámetros'!G16/(1+2^(-'⚙ Parámetros'!F16*(L72-'⚙ Parámetros'!E16))),1)*L72+20/100*MAX('⚙ Parámetros'!D16/(1+2^(-'⚙ Parámetros'!C16*(M72-'⚙ Parámetros'!B16))),'⚙ Parámetros'!G16/(1+2^(-'⚙ Parámetros'!F16*(M72-'⚙ Parámetros'!E16))),1)*M72)/(35/100*MAX('⚙ Parámetros'!D16/(1+2^(-'⚙ Parámetros'!C16*(J72-'⚙ Parámetros'!B16))),'⚙ Parámetros'!G16/(1+2^(-'⚙ Parámetros'!F16*(J72-'⚙ Parámetros'!E16))),1)+25/100*MAX('⚙ Parámetros'!D16/(1+2^(-'⚙ Parámetros'!C16*(K72-'⚙ Parámetros'!B16))),'⚙ Parámetros'!G16/(1+2^(-'⚙ Parámetros'!F16*(K72-'⚙ Parámetros'!E16))),1)+20/100*MAX('⚙ Parámetros'!D16/(1+2^(-'⚙ Parámetros'!C16*(L72-'⚙ Parámetros'!B16))),'⚙ Parámetros'!G16/(1+2^(-'⚙ Parámetros'!F16*(L72-'⚙ Parámetros'!E16))),1)+20/100*MAX('⚙ Parámetros'!D16/(1+2^(-'⚙ Parámetros'!C16*(M72-'⚙ Parámetros'!B16))),'⚙ Parámetros'!G16/(1+2^(-'⚙ Parámetros'!F16*(M72-'⚙ Parámetros'!E16))),1)),0)</f>
        <v>1.4000000000000001</v>
      </c>
      <c r="AD72" s="89">
        <f>IFERROR((30/100*MAX('⚙ Parámetros'!D17/(1+2^(-'⚙ Parámetros'!C17*(N72-'⚙ Parámetros'!B17))),'⚙ Parámetros'!G17/(1+2^(-'⚙ Parámetros'!F17*(N72-'⚙ Parámetros'!E17))),1)*N72+25/100*MAX('⚙ Parámetros'!D17/(1+2^(-'⚙ Parámetros'!C17*(O72-'⚙ Parámetros'!B17))),'⚙ Parámetros'!G17/(1+2^(-'⚙ Parámetros'!F17*(O72-'⚙ Parámetros'!E17))),1)*O72+25/100*MAX('⚙ Parámetros'!D17/(1+2^(-'⚙ Parámetros'!C17*(P72-'⚙ Parámetros'!B17))),'⚙ Parámetros'!G17/(1+2^(-'⚙ Parámetros'!F17*(P72-'⚙ Parámetros'!E17))),1)*P72+20/100*MAX('⚙ Parámetros'!D17/(1+2^(-'⚙ Parámetros'!C17*(Q72-'⚙ Parámetros'!B17))),'⚙ Parámetros'!G17/(1+2^(-'⚙ Parámetros'!F17*(Q72-'⚙ Parámetros'!E17))),1)*Q72)/(30/100*MAX('⚙ Parámetros'!D17/(1+2^(-'⚙ Parámetros'!C17*(N72-'⚙ Parámetros'!B17))),'⚙ Parámetros'!G17/(1+2^(-'⚙ Parámetros'!F17*(N72-'⚙ Parámetros'!E17))),1)+25/100*MAX('⚙ Parámetros'!D17/(1+2^(-'⚙ Parámetros'!C17*(O72-'⚙ Parámetros'!B17))),'⚙ Parámetros'!G17/(1+2^(-'⚙ Parámetros'!F17*(O72-'⚙ Parámetros'!E17))),1)+25/100*MAX('⚙ Parámetros'!D17/(1+2^(-'⚙ Parámetros'!C17*(P72-'⚙ Parámetros'!B17))),'⚙ Parámetros'!G17/(1+2^(-'⚙ Parámetros'!F17*(P72-'⚙ Parámetros'!E17))),1)+20/100*MAX('⚙ Parámetros'!D17/(1+2^(-'⚙ Parámetros'!C17*(Q72-'⚙ Parámetros'!B17))),'⚙ Parámetros'!G17/(1+2^(-'⚙ Parámetros'!F17*(Q72-'⚙ Parámetros'!E17))),1)),0)</f>
        <v>2.8749999999999996</v>
      </c>
      <c r="AE72" s="89">
        <f>IFERROR((30/100*MAX('⚙ Parámetros'!D18/(1+2^(-'⚙ Parámetros'!C18*(R72-'⚙ Parámetros'!B18))),'⚙ Parámetros'!G18/(1+2^(-'⚙ Parámetros'!F18*(R72-'⚙ Parámetros'!E18))),1)*R72+30/100*MAX('⚙ Parámetros'!D18/(1+2^(-'⚙ Parámetros'!C18*(S72-'⚙ Parámetros'!B18))),'⚙ Parámetros'!G18/(1+2^(-'⚙ Parámetros'!F18*(S72-'⚙ Parámetros'!E18))),1)*S72+20/100*MAX('⚙ Parámetros'!D18/(1+2^(-'⚙ Parámetros'!C18*(T72-'⚙ Parámetros'!B18))),'⚙ Parámetros'!G18/(1+2^(-'⚙ Parámetros'!F18*(T72-'⚙ Parámetros'!E18))),1)*T72+20/100*MAX('⚙ Parámetros'!D18/(1+2^(-'⚙ Parámetros'!C18*(U72-'⚙ Parámetros'!B18))),'⚙ Parámetros'!G18/(1+2^(-'⚙ Parámetros'!F18*(U72-'⚙ Parámetros'!E18))),1)*U72)/(30/100*MAX('⚙ Parámetros'!D18/(1+2^(-'⚙ Parámetros'!C18*(R72-'⚙ Parámetros'!B18))),'⚙ Parámetros'!G18/(1+2^(-'⚙ Parámetros'!F18*(R72-'⚙ Parámetros'!E18))),1)+30/100*MAX('⚙ Parámetros'!D18/(1+2^(-'⚙ Parámetros'!C18*(S72-'⚙ Parámetros'!B18))),'⚙ Parámetros'!G18/(1+2^(-'⚙ Parámetros'!F18*(S72-'⚙ Parámetros'!E18))),1)+20/100*MAX('⚙ Parámetros'!D18/(1+2^(-'⚙ Parámetros'!C18*(T72-'⚙ Parámetros'!B18))),'⚙ Parámetros'!G18/(1+2^(-'⚙ Parámetros'!F18*(T72-'⚙ Parámetros'!E18))),1)+20/100*MAX('⚙ Parámetros'!D18/(1+2^(-'⚙ Parámetros'!C18*(U72-'⚙ Parámetros'!B18))),'⚙ Parámetros'!G18/(1+2^(-'⚙ Parámetros'!F18*(U72-'⚙ Parámetros'!E18))),1)),0)</f>
        <v>5</v>
      </c>
      <c r="AF72" s="89">
        <f>IFERROR((30/100*MAX('⚙ Parámetros'!D19/(1+2^(-'⚙ Parámetros'!C19*(V72-'⚙ Parámetros'!B19))),'⚙ Parámetros'!G19/(1+2^(-'⚙ Parámetros'!F19*(V72-'⚙ Parámetros'!E19))),1)*V72+35/100*MAX('⚙ Parámetros'!D19/(1+2^(-'⚙ Parámetros'!C19*(W72-'⚙ Parámetros'!B19))),'⚙ Parámetros'!G19/(1+2^(-'⚙ Parámetros'!F19*(W72-'⚙ Parámetros'!E19))),1)*W72+35/100*MAX('⚙ Parámetros'!D19/(1+2^(-'⚙ Parámetros'!C19*(X72-'⚙ Parámetros'!B19))),'⚙ Parámetros'!G19/(1+2^(-'⚙ Parámetros'!F19*(X72-'⚙ Parámetros'!E19))),1)*X72)/(30/100*MAX('⚙ Parámetros'!D19/(1+2^(-'⚙ Parámetros'!C19*(V72-'⚙ Parámetros'!B19))),'⚙ Parámetros'!G19/(1+2^(-'⚙ Parámetros'!F19*(V72-'⚙ Parámetros'!E19))),1)+35/100*MAX('⚙ Parámetros'!D19/(1+2^(-'⚙ Parámetros'!C19*(W72-'⚙ Parámetros'!B19))),'⚙ Parámetros'!G19/(1+2^(-'⚙ Parámetros'!F19*(W72-'⚙ Parámetros'!E19))),1)+35/100*MAX('⚙ Parámetros'!D19/(1+2^(-'⚙ Parámetros'!C19*(X72-'⚙ Parámetros'!B19))),'⚙ Parámetros'!G19/(1+2^(-'⚙ Parámetros'!F19*(X72-'⚙ Parámetros'!E19))),1)),0)</f>
        <v>5.7368421052631575</v>
      </c>
      <c r="AG72" s="89">
        <f>IFERROR((35/100*MAX('⚙ Parámetros'!D20/(1+2^(-'⚙ Parámetros'!C20*(Y72-'⚙ Parámetros'!B20))),'⚙ Parámetros'!G20/(1+2^(-'⚙ Parámetros'!F20*(Y72-'⚙ Parámetros'!E20))),1)*Y72+35/100*MAX('⚙ Parámetros'!D20/(1+2^(-'⚙ Parámetros'!C20*(Z72-'⚙ Parámetros'!B20))),'⚙ Parámetros'!G20/(1+2^(-'⚙ Parámetros'!F20*(Z72-'⚙ Parámetros'!E20))),1)*Z72+30/100*MAX('⚙ Parámetros'!D20/(1+2^(-'⚙ Parámetros'!C20*(AA72-'⚙ Parámetros'!B20))),'⚙ Parámetros'!G20/(1+2^(-'⚙ Parámetros'!F20*(AA72-'⚙ Parámetros'!E20))),1)*AA72)/(35/100*MAX('⚙ Parámetros'!D20/(1+2^(-'⚙ Parámetros'!C20*(Y72-'⚙ Parámetros'!B20))),'⚙ Parámetros'!G20/(1+2^(-'⚙ Parámetros'!F20*(Y72-'⚙ Parámetros'!E20))),1)+35/100*MAX('⚙ Parámetros'!D20/(1+2^(-'⚙ Parámetros'!C20*(Z72-'⚙ Parámetros'!B20))),'⚙ Parámetros'!G20/(1+2^(-'⚙ Parámetros'!F20*(Z72-'⚙ Parámetros'!E20))),1)+30/100*MAX('⚙ Parámetros'!D20/(1+2^(-'⚙ Parámetros'!C20*(AA72-'⚙ Parámetros'!B20))),'⚙ Parámetros'!G20/(1+2^(-'⚙ Parámetros'!F20*(AA72-'⚙ Parámetros'!E20))),1)),0)</f>
        <v>3.7272727272727275</v>
      </c>
      <c r="AH72" s="90">
        <f>('⚙ Parámetros'!B5/100*AB72+'⚙ Parámetros'!B6/100*AC72+'⚙ Parámetros'!B7/100*AD72+'⚙ Parámetros'!B8/100*AE72+'⚙ Parámetros'!B9/100*AF72+'⚙ Parámetros'!B10/100*AG72)</f>
        <v>3.923640222256521</v>
      </c>
      <c r="AI72" s="91">
        <f ca="1">MIN(1+MAX(0,TODAY()-DATE(2026,2,2))/365*'⚙ Parámetros'!B33,'⚙ Parámetros'!B34)</f>
        <v>1.0534246575342465</v>
      </c>
      <c r="AJ72" s="82">
        <f t="shared" ca="1" si="4"/>
        <v>4.1332593574181704</v>
      </c>
      <c r="AK72" s="92" t="str">
        <f ca="1">IF(AB72&gt;='⚙ Parámetros'!B23,"⚑ AUTO-PRIOR.(D1≥8)",IF(AJ72&gt;='⚙ Parámetros'!B23,"PRIORITARIO",IF(AJ72&gt;='⚙ Parámetros'!B24,"ALTA PRIORIDAD",IF(AJ72&gt;='⚙ Parámetros'!B25,"PRIORIDAD MEDIA",IF(AJ72&gt;='⚙ Parámetros'!B26,"BAJA PRIORIDAD","DESCARTAR")))))</f>
        <v>BAJA PRIORIDAD</v>
      </c>
      <c r="AL72" s="69" t="str">
        <f t="shared" si="5"/>
        <v>—</v>
      </c>
      <c r="AM72" s="85">
        <v>40</v>
      </c>
      <c r="AN72" s="83" t="str">
        <f>IF(AM72="","—",IF(AM72&lt;'⚙ Parámetros'!B29,"🟢 Corto",IF(AM72&lt;'⚙ Parámetros'!B30,"🟡 Medio","🔴 Largo")))</f>
        <v>🟡 Medio</v>
      </c>
    </row>
    <row r="73" spans="1:40" ht="18.75" customHeight="1" x14ac:dyDescent="0.25">
      <c r="A73" s="69">
        <v>69</v>
      </c>
      <c r="B73" s="70" t="s">
        <v>277</v>
      </c>
      <c r="C73" s="4" t="s">
        <v>135</v>
      </c>
      <c r="D73" s="71" t="s">
        <v>139</v>
      </c>
      <c r="E73" s="72" t="s">
        <v>232</v>
      </c>
      <c r="F73" s="74">
        <v>1</v>
      </c>
      <c r="G73" s="73">
        <v>7</v>
      </c>
      <c r="H73" s="74">
        <v>1</v>
      </c>
      <c r="I73" s="74">
        <v>1</v>
      </c>
      <c r="J73" s="74">
        <v>1</v>
      </c>
      <c r="K73" s="74">
        <v>1</v>
      </c>
      <c r="L73" s="74">
        <v>1</v>
      </c>
      <c r="M73" s="73">
        <v>3</v>
      </c>
      <c r="N73" s="74">
        <v>1</v>
      </c>
      <c r="O73" s="74">
        <v>1</v>
      </c>
      <c r="P73" s="73">
        <v>6</v>
      </c>
      <c r="Q73" s="74">
        <v>1</v>
      </c>
      <c r="R73" s="73">
        <v>5</v>
      </c>
      <c r="S73" s="73">
        <v>5</v>
      </c>
      <c r="T73" s="73">
        <v>5</v>
      </c>
      <c r="U73" s="73">
        <v>5</v>
      </c>
      <c r="V73" s="73">
        <v>5</v>
      </c>
      <c r="W73" s="73">
        <v>6</v>
      </c>
      <c r="X73" s="73">
        <v>6</v>
      </c>
      <c r="Y73" s="73">
        <v>4</v>
      </c>
      <c r="Z73" s="74">
        <v>2</v>
      </c>
      <c r="AA73" s="73">
        <v>5</v>
      </c>
      <c r="AB73" s="80">
        <f>IFERROR((30/100*MAX('⚙ Parámetros'!D15/(1+2^(-'⚙ Parámetros'!C15*(F73-'⚙ Parámetros'!B15))),'⚙ Parámetros'!G15/(1+2^(-'⚙ Parámetros'!F15*(F73-'⚙ Parámetros'!E15))),1)*F73+30/100*MAX('⚙ Parámetros'!D15/(1+2^(-'⚙ Parámetros'!C15*(G73-'⚙ Parámetros'!B15))),'⚙ Parámetros'!G15/(1+2^(-'⚙ Parámetros'!F15*(G73-'⚙ Parámetros'!E15))),1)*G73+20/100*MAX('⚙ Parámetros'!D15/(1+2^(-'⚙ Parámetros'!C15*(H73-'⚙ Parámetros'!B15))),'⚙ Parámetros'!G15/(1+2^(-'⚙ Parámetros'!F15*(H73-'⚙ Parámetros'!E15))),1)*H73+20/100*MAX('⚙ Parámetros'!D15/(1+2^(-'⚙ Parámetros'!C15*(I73-'⚙ Parámetros'!B15))),'⚙ Parámetros'!G15/(1+2^(-'⚙ Parámetros'!F15*(I73-'⚙ Parámetros'!E15))),1)*I73)/(30/100*MAX('⚙ Parámetros'!D15/(1+2^(-'⚙ Parámetros'!C15*(F73-'⚙ Parámetros'!B15))),'⚙ Parámetros'!G15/(1+2^(-'⚙ Parámetros'!F15*(F73-'⚙ Parámetros'!E15))),1)+30/100*MAX('⚙ Parámetros'!D15/(1+2^(-'⚙ Parámetros'!C15*(G73-'⚙ Parámetros'!B15))),'⚙ Parámetros'!G15/(1+2^(-'⚙ Parámetros'!F15*(G73-'⚙ Parámetros'!E15))),1)+20/100*MAX('⚙ Parámetros'!D15/(1+2^(-'⚙ Parámetros'!C15*(H73-'⚙ Parámetros'!B15))),'⚙ Parámetros'!G15/(1+2^(-'⚙ Parámetros'!F15*(H73-'⚙ Parámetros'!E15))),1)+20/100*MAX('⚙ Parámetros'!D15/(1+2^(-'⚙ Parámetros'!C15*(I73-'⚙ Parámetros'!B15))),'⚙ Parámetros'!G15/(1+2^(-'⚙ Parámetros'!F15*(I73-'⚙ Parámetros'!E15))),1)),0)</f>
        <v>4.9512195121951219</v>
      </c>
      <c r="AC73" s="80">
        <f>IFERROR((35/100*MAX('⚙ Parámetros'!D16/(1+2^(-'⚙ Parámetros'!C16*(J73-'⚙ Parámetros'!B16))),'⚙ Parámetros'!G16/(1+2^(-'⚙ Parámetros'!F16*(J73-'⚙ Parámetros'!E16))),1)*J73+25/100*MAX('⚙ Parámetros'!D16/(1+2^(-'⚙ Parámetros'!C16*(K73-'⚙ Parámetros'!B16))),'⚙ Parámetros'!G16/(1+2^(-'⚙ Parámetros'!F16*(K73-'⚙ Parámetros'!E16))),1)*K73+20/100*MAX('⚙ Parámetros'!D16/(1+2^(-'⚙ Parámetros'!C16*(L73-'⚙ Parámetros'!B16))),'⚙ Parámetros'!G16/(1+2^(-'⚙ Parámetros'!F16*(L73-'⚙ Parámetros'!E16))),1)*L73+20/100*MAX('⚙ Parámetros'!D16/(1+2^(-'⚙ Parámetros'!C16*(M73-'⚙ Parámetros'!B16))),'⚙ Parámetros'!G16/(1+2^(-'⚙ Parámetros'!F16*(M73-'⚙ Parámetros'!E16))),1)*M73)/(35/100*MAX('⚙ Parámetros'!D16/(1+2^(-'⚙ Parámetros'!C16*(J73-'⚙ Parámetros'!B16))),'⚙ Parámetros'!G16/(1+2^(-'⚙ Parámetros'!F16*(J73-'⚙ Parámetros'!E16))),1)+25/100*MAX('⚙ Parámetros'!D16/(1+2^(-'⚙ Parámetros'!C16*(K73-'⚙ Parámetros'!B16))),'⚙ Parámetros'!G16/(1+2^(-'⚙ Parámetros'!F16*(K73-'⚙ Parámetros'!E16))),1)+20/100*MAX('⚙ Parámetros'!D16/(1+2^(-'⚙ Parámetros'!C16*(L73-'⚙ Parámetros'!B16))),'⚙ Parámetros'!G16/(1+2^(-'⚙ Parámetros'!F16*(L73-'⚙ Parámetros'!E16))),1)+20/100*MAX('⚙ Parámetros'!D16/(1+2^(-'⚙ Parámetros'!C16*(M73-'⚙ Parámetros'!B16))),'⚙ Parámetros'!G16/(1+2^(-'⚙ Parámetros'!F16*(M73-'⚙ Parámetros'!E16))),1)),0)</f>
        <v>1.4000000000000001</v>
      </c>
      <c r="AD73" s="80">
        <f>IFERROR((30/100*MAX('⚙ Parámetros'!D17/(1+2^(-'⚙ Parámetros'!C17*(N73-'⚙ Parámetros'!B17))),'⚙ Parámetros'!G17/(1+2^(-'⚙ Parámetros'!F17*(N73-'⚙ Parámetros'!E17))),1)*N73+25/100*MAX('⚙ Parámetros'!D17/(1+2^(-'⚙ Parámetros'!C17*(O73-'⚙ Parámetros'!B17))),'⚙ Parámetros'!G17/(1+2^(-'⚙ Parámetros'!F17*(O73-'⚙ Parámetros'!E17))),1)*O73+25/100*MAX('⚙ Parámetros'!D17/(1+2^(-'⚙ Parámetros'!C17*(P73-'⚙ Parámetros'!B17))),'⚙ Parámetros'!G17/(1+2^(-'⚙ Parámetros'!F17*(P73-'⚙ Parámetros'!E17))),1)*P73+20/100*MAX('⚙ Parámetros'!D17/(1+2^(-'⚙ Parámetros'!C17*(Q73-'⚙ Parámetros'!B17))),'⚙ Parámetros'!G17/(1+2^(-'⚙ Parámetros'!F17*(Q73-'⚙ Parámetros'!E17))),1)*Q73)/(30/100*MAX('⚙ Parámetros'!D17/(1+2^(-'⚙ Parámetros'!C17*(N73-'⚙ Parámetros'!B17))),'⚙ Parámetros'!G17/(1+2^(-'⚙ Parámetros'!F17*(N73-'⚙ Parámetros'!E17))),1)+25/100*MAX('⚙ Parámetros'!D17/(1+2^(-'⚙ Parámetros'!C17*(O73-'⚙ Parámetros'!B17))),'⚙ Parámetros'!G17/(1+2^(-'⚙ Parámetros'!F17*(O73-'⚙ Parámetros'!E17))),1)+25/100*MAX('⚙ Parámetros'!D17/(1+2^(-'⚙ Parámetros'!C17*(P73-'⚙ Parámetros'!B17))),'⚙ Parámetros'!G17/(1+2^(-'⚙ Parámetros'!F17*(P73-'⚙ Parámetros'!E17))),1)+20/100*MAX('⚙ Parámetros'!D17/(1+2^(-'⚙ Parámetros'!C17*(Q73-'⚙ Parámetros'!B17))),'⚙ Parámetros'!G17/(1+2^(-'⚙ Parámetros'!F17*(Q73-'⚙ Parámetros'!E17))),1)),0)</f>
        <v>3.2222222222222223</v>
      </c>
      <c r="AE73" s="80">
        <f>IFERROR((30/100*MAX('⚙ Parámetros'!D18/(1+2^(-'⚙ Parámetros'!C18*(R73-'⚙ Parámetros'!B18))),'⚙ Parámetros'!G18/(1+2^(-'⚙ Parámetros'!F18*(R73-'⚙ Parámetros'!E18))),1)*R73+30/100*MAX('⚙ Parámetros'!D18/(1+2^(-'⚙ Parámetros'!C18*(S73-'⚙ Parámetros'!B18))),'⚙ Parámetros'!G18/(1+2^(-'⚙ Parámetros'!F18*(S73-'⚙ Parámetros'!E18))),1)*S73+20/100*MAX('⚙ Parámetros'!D18/(1+2^(-'⚙ Parámetros'!C18*(T73-'⚙ Parámetros'!B18))),'⚙ Parámetros'!G18/(1+2^(-'⚙ Parámetros'!F18*(T73-'⚙ Parámetros'!E18))),1)*T73+20/100*MAX('⚙ Parámetros'!D18/(1+2^(-'⚙ Parámetros'!C18*(U73-'⚙ Parámetros'!B18))),'⚙ Parámetros'!G18/(1+2^(-'⚙ Parámetros'!F18*(U73-'⚙ Parámetros'!E18))),1)*U73)/(30/100*MAX('⚙ Parámetros'!D18/(1+2^(-'⚙ Parámetros'!C18*(R73-'⚙ Parámetros'!B18))),'⚙ Parámetros'!G18/(1+2^(-'⚙ Parámetros'!F18*(R73-'⚙ Parámetros'!E18))),1)+30/100*MAX('⚙ Parámetros'!D18/(1+2^(-'⚙ Parámetros'!C18*(S73-'⚙ Parámetros'!B18))),'⚙ Parámetros'!G18/(1+2^(-'⚙ Parámetros'!F18*(S73-'⚙ Parámetros'!E18))),1)+20/100*MAX('⚙ Parámetros'!D18/(1+2^(-'⚙ Parámetros'!C18*(T73-'⚙ Parámetros'!B18))),'⚙ Parámetros'!G18/(1+2^(-'⚙ Parámetros'!F18*(T73-'⚙ Parámetros'!E18))),1)+20/100*MAX('⚙ Parámetros'!D18/(1+2^(-'⚙ Parámetros'!C18*(U73-'⚙ Parámetros'!B18))),'⚙ Parámetros'!G18/(1+2^(-'⚙ Parámetros'!F18*(U73-'⚙ Parámetros'!E18))),1)),0)</f>
        <v>5</v>
      </c>
      <c r="AF73" s="80">
        <f>IFERROR((30/100*MAX('⚙ Parámetros'!D19/(1+2^(-'⚙ Parámetros'!C19*(V73-'⚙ Parámetros'!B19))),'⚙ Parámetros'!G19/(1+2^(-'⚙ Parámetros'!F19*(V73-'⚙ Parámetros'!E19))),1)*V73+35/100*MAX('⚙ Parámetros'!D19/(1+2^(-'⚙ Parámetros'!C19*(W73-'⚙ Parámetros'!B19))),'⚙ Parámetros'!G19/(1+2^(-'⚙ Parámetros'!F19*(W73-'⚙ Parámetros'!E19))),1)*W73+35/100*MAX('⚙ Parámetros'!D19/(1+2^(-'⚙ Parámetros'!C19*(X73-'⚙ Parámetros'!B19))),'⚙ Parámetros'!G19/(1+2^(-'⚙ Parámetros'!F19*(X73-'⚙ Parámetros'!E19))),1)*X73)/(30/100*MAX('⚙ Parámetros'!D19/(1+2^(-'⚙ Parámetros'!C19*(V73-'⚙ Parámetros'!B19))),'⚙ Parámetros'!G19/(1+2^(-'⚙ Parámetros'!F19*(V73-'⚙ Parámetros'!E19))),1)+35/100*MAX('⚙ Parámetros'!D19/(1+2^(-'⚙ Parámetros'!C19*(W73-'⚙ Parámetros'!B19))),'⚙ Parámetros'!G19/(1+2^(-'⚙ Parámetros'!F19*(W73-'⚙ Parámetros'!E19))),1)+35/100*MAX('⚙ Parámetros'!D19/(1+2^(-'⚙ Parámetros'!C19*(X73-'⚙ Parámetros'!B19))),'⚙ Parámetros'!G19/(1+2^(-'⚙ Parámetros'!F19*(X73-'⚙ Parámetros'!E19))),1)),0)</f>
        <v>5.7368421052631575</v>
      </c>
      <c r="AG73" s="80">
        <f>IFERROR((35/100*MAX('⚙ Parámetros'!D20/(1+2^(-'⚙ Parámetros'!C20*(Y73-'⚙ Parámetros'!B20))),'⚙ Parámetros'!G20/(1+2^(-'⚙ Parámetros'!F20*(Y73-'⚙ Parámetros'!E20))),1)*Y73+35/100*MAX('⚙ Parámetros'!D20/(1+2^(-'⚙ Parámetros'!C20*(Z73-'⚙ Parámetros'!B20))),'⚙ Parámetros'!G20/(1+2^(-'⚙ Parámetros'!F20*(Z73-'⚙ Parámetros'!E20))),1)*Z73+30/100*MAX('⚙ Parámetros'!D20/(1+2^(-'⚙ Parámetros'!C20*(AA73-'⚙ Parámetros'!B20))),'⚙ Parámetros'!G20/(1+2^(-'⚙ Parámetros'!F20*(AA73-'⚙ Parámetros'!E20))),1)*AA73)/(35/100*MAX('⚙ Parámetros'!D20/(1+2^(-'⚙ Parámetros'!C20*(Y73-'⚙ Parámetros'!B20))),'⚙ Parámetros'!G20/(1+2^(-'⚙ Parámetros'!F20*(Y73-'⚙ Parámetros'!E20))),1)+35/100*MAX('⚙ Parámetros'!D20/(1+2^(-'⚙ Parámetros'!C20*(Z73-'⚙ Parámetros'!B20))),'⚙ Parámetros'!G20/(1+2^(-'⚙ Parámetros'!F20*(Z73-'⚙ Parámetros'!E20))),1)+30/100*MAX('⚙ Parámetros'!D20/(1+2^(-'⚙ Parámetros'!C20*(AA73-'⚙ Parámetros'!B20))),'⚙ Parámetros'!G20/(1+2^(-'⚙ Parámetros'!F20*(AA73-'⚙ Parámetros'!E20))),1)),0)</f>
        <v>3.7272727272727275</v>
      </c>
      <c r="AH73" s="81">
        <f>('⚙ Parámetros'!B5/100*AB73+'⚙ Parámetros'!B6/100*AC73+'⚙ Parámetros'!B7/100*AD73+'⚙ Parámetros'!B8/100*AE73+'⚙ Parámetros'!B9/100*AF73+'⚙ Parámetros'!B10/100*AG73)</f>
        <v>3.8816763268111152</v>
      </c>
      <c r="AI73" s="33">
        <f ca="1">MIN(1+MAX(0,TODAY()-DATE(2026,2,6))/365*'⚙ Parámetros'!B33,'⚙ Parámetros'!B34)</f>
        <v>1.0517808219178082</v>
      </c>
      <c r="AJ73" s="82">
        <f t="shared" ca="1" si="4"/>
        <v>4.0826727174322937</v>
      </c>
      <c r="AK73" s="83" t="str">
        <f ca="1">IF(AB73&gt;='⚙ Parámetros'!B23,"⚑ AUTO-PRIOR.(D1≥8)",IF(AJ73&gt;='⚙ Parámetros'!B23,"PRIORITARIO",IF(AJ73&gt;='⚙ Parámetros'!B24,"ALTA PRIORIDAD",IF(AJ73&gt;='⚙ Parámetros'!B25,"PRIORIDAD MEDIA",IF(AJ73&gt;='⚙ Parámetros'!B26,"BAJA PRIORIDAD","DESCARTAR")))))</f>
        <v>BAJA PRIORIDAD</v>
      </c>
      <c r="AL73" s="84" t="str">
        <f t="shared" si="5"/>
        <v>—</v>
      </c>
      <c r="AM73" s="85">
        <v>48</v>
      </c>
      <c r="AN73" s="83" t="str">
        <f>IF(AM73="","—",IF(AM73&lt;'⚙ Parámetros'!B29,"🟢 Corto",IF(AM73&lt;'⚙ Parámetros'!B30,"🟡 Medio","🔴 Largo")))</f>
        <v>🟡 Medio</v>
      </c>
    </row>
    <row r="74" spans="1:40" ht="18.75" customHeight="1" x14ac:dyDescent="0.25">
      <c r="A74" s="69">
        <v>70</v>
      </c>
      <c r="B74" s="30" t="s">
        <v>278</v>
      </c>
      <c r="C74" s="26" t="s">
        <v>182</v>
      </c>
      <c r="D74" s="71" t="s">
        <v>139</v>
      </c>
      <c r="E74" s="72" t="s">
        <v>279</v>
      </c>
      <c r="F74" s="74">
        <v>1</v>
      </c>
      <c r="G74" s="74">
        <v>1</v>
      </c>
      <c r="H74" s="74">
        <v>1</v>
      </c>
      <c r="I74" s="74">
        <v>1</v>
      </c>
      <c r="J74" s="74">
        <v>1</v>
      </c>
      <c r="K74" s="74">
        <v>1</v>
      </c>
      <c r="L74" s="74">
        <v>1</v>
      </c>
      <c r="M74" s="86">
        <v>3</v>
      </c>
      <c r="N74" s="86">
        <v>7</v>
      </c>
      <c r="O74" s="86">
        <v>6</v>
      </c>
      <c r="P74" s="86">
        <v>6</v>
      </c>
      <c r="Q74" s="74">
        <v>1</v>
      </c>
      <c r="R74" s="76">
        <v>9</v>
      </c>
      <c r="S74" s="76">
        <v>9</v>
      </c>
      <c r="T74" s="86">
        <v>5</v>
      </c>
      <c r="U74" s="86">
        <v>5</v>
      </c>
      <c r="V74" s="77">
        <v>8</v>
      </c>
      <c r="W74" s="86">
        <v>6</v>
      </c>
      <c r="X74" s="77">
        <v>9</v>
      </c>
      <c r="Y74" s="86">
        <v>4</v>
      </c>
      <c r="Z74" s="74">
        <v>2</v>
      </c>
      <c r="AA74" s="86">
        <v>5</v>
      </c>
      <c r="AB74" s="89">
        <f>IFERROR((30/100*MAX('⚙ Parámetros'!D15/(1+2^(-'⚙ Parámetros'!C15*(F74-'⚙ Parámetros'!B15))),'⚙ Parámetros'!G15/(1+2^(-'⚙ Parámetros'!F15*(F74-'⚙ Parámetros'!E15))),1)*F74+30/100*MAX('⚙ Parámetros'!D15/(1+2^(-'⚙ Parámetros'!C15*(G74-'⚙ Parámetros'!B15))),'⚙ Parámetros'!G15/(1+2^(-'⚙ Parámetros'!F15*(G74-'⚙ Parámetros'!E15))),1)*G74+20/100*MAX('⚙ Parámetros'!D15/(1+2^(-'⚙ Parámetros'!C15*(H74-'⚙ Parámetros'!B15))),'⚙ Parámetros'!G15/(1+2^(-'⚙ Parámetros'!F15*(H74-'⚙ Parámetros'!E15))),1)*H74+20/100*MAX('⚙ Parámetros'!D15/(1+2^(-'⚙ Parámetros'!C15*(I74-'⚙ Parámetros'!B15))),'⚙ Parámetros'!G15/(1+2^(-'⚙ Parámetros'!F15*(I74-'⚙ Parámetros'!E15))),1)*I74)/(30/100*MAX('⚙ Parámetros'!D15/(1+2^(-'⚙ Parámetros'!C15*(F74-'⚙ Parámetros'!B15))),'⚙ Parámetros'!G15/(1+2^(-'⚙ Parámetros'!F15*(F74-'⚙ Parámetros'!E15))),1)+30/100*MAX('⚙ Parámetros'!D15/(1+2^(-'⚙ Parámetros'!C15*(G74-'⚙ Parámetros'!B15))),'⚙ Parámetros'!G15/(1+2^(-'⚙ Parámetros'!F15*(G74-'⚙ Parámetros'!E15))),1)+20/100*MAX('⚙ Parámetros'!D15/(1+2^(-'⚙ Parámetros'!C15*(H74-'⚙ Parámetros'!B15))),'⚙ Parámetros'!G15/(1+2^(-'⚙ Parámetros'!F15*(H74-'⚙ Parámetros'!E15))),1)+20/100*MAX('⚙ Parámetros'!D15/(1+2^(-'⚙ Parámetros'!C15*(I74-'⚙ Parámetros'!B15))),'⚙ Parámetros'!G15/(1+2^(-'⚙ Parámetros'!F15*(I74-'⚙ Parámetros'!E15))),1)),0)</f>
        <v>1</v>
      </c>
      <c r="AC74" s="89">
        <f>IFERROR((35/100*MAX('⚙ Parámetros'!D16/(1+2^(-'⚙ Parámetros'!C16*(J74-'⚙ Parámetros'!B16))),'⚙ Parámetros'!G16/(1+2^(-'⚙ Parámetros'!F16*(J74-'⚙ Parámetros'!E16))),1)*J74+25/100*MAX('⚙ Parámetros'!D16/(1+2^(-'⚙ Parámetros'!C16*(K74-'⚙ Parámetros'!B16))),'⚙ Parámetros'!G16/(1+2^(-'⚙ Parámetros'!F16*(K74-'⚙ Parámetros'!E16))),1)*K74+20/100*MAX('⚙ Parámetros'!D16/(1+2^(-'⚙ Parámetros'!C16*(L74-'⚙ Parámetros'!B16))),'⚙ Parámetros'!G16/(1+2^(-'⚙ Parámetros'!F16*(L74-'⚙ Parámetros'!E16))),1)*L74+20/100*MAX('⚙ Parámetros'!D16/(1+2^(-'⚙ Parámetros'!C16*(M74-'⚙ Parámetros'!B16))),'⚙ Parámetros'!G16/(1+2^(-'⚙ Parámetros'!F16*(M74-'⚙ Parámetros'!E16))),1)*M74)/(35/100*MAX('⚙ Parámetros'!D16/(1+2^(-'⚙ Parámetros'!C16*(J74-'⚙ Parámetros'!B16))),'⚙ Parámetros'!G16/(1+2^(-'⚙ Parámetros'!F16*(J74-'⚙ Parámetros'!E16))),1)+25/100*MAX('⚙ Parámetros'!D16/(1+2^(-'⚙ Parámetros'!C16*(K74-'⚙ Parámetros'!B16))),'⚙ Parámetros'!G16/(1+2^(-'⚙ Parámetros'!F16*(K74-'⚙ Parámetros'!E16))),1)+20/100*MAX('⚙ Parámetros'!D16/(1+2^(-'⚙ Parámetros'!C16*(L74-'⚙ Parámetros'!B16))),'⚙ Parámetros'!G16/(1+2^(-'⚙ Parámetros'!F16*(L74-'⚙ Parámetros'!E16))),1)+20/100*MAX('⚙ Parámetros'!D16/(1+2^(-'⚙ Parámetros'!C16*(M74-'⚙ Parámetros'!B16))),'⚙ Parámetros'!G16/(1+2^(-'⚙ Parámetros'!F16*(M74-'⚙ Parámetros'!E16))),1)),0)</f>
        <v>1.4000000000000001</v>
      </c>
      <c r="AD74" s="89">
        <f>IFERROR((30/100*MAX('⚙ Parámetros'!D17/(1+2^(-'⚙ Parámetros'!C17*(N74-'⚙ Parámetros'!B17))),'⚙ Parámetros'!G17/(1+2^(-'⚙ Parámetros'!F17*(N74-'⚙ Parámetros'!E17))),1)*N74+25/100*MAX('⚙ Parámetros'!D17/(1+2^(-'⚙ Parámetros'!C17*(O74-'⚙ Parámetros'!B17))),'⚙ Parámetros'!G17/(1+2^(-'⚙ Parámetros'!F17*(O74-'⚙ Parámetros'!E17))),1)*O74+25/100*MAX('⚙ Parámetros'!D17/(1+2^(-'⚙ Parámetros'!C17*(P74-'⚙ Parámetros'!B17))),'⚙ Parámetros'!G17/(1+2^(-'⚙ Parámetros'!F17*(P74-'⚙ Parámetros'!E17))),1)*P74+20/100*MAX('⚙ Parámetros'!D17/(1+2^(-'⚙ Parámetros'!C17*(Q74-'⚙ Parámetros'!B17))),'⚙ Parámetros'!G17/(1+2^(-'⚙ Parámetros'!F17*(Q74-'⚙ Parámetros'!E17))),1)*Q74)/(30/100*MAX('⚙ Parámetros'!D17/(1+2^(-'⚙ Parámetros'!C17*(N74-'⚙ Parámetros'!B17))),'⚙ Parámetros'!G17/(1+2^(-'⚙ Parámetros'!F17*(N74-'⚙ Parámetros'!E17))),1)+25/100*MAX('⚙ Parámetros'!D17/(1+2^(-'⚙ Parámetros'!C17*(O74-'⚙ Parámetros'!B17))),'⚙ Parámetros'!G17/(1+2^(-'⚙ Parámetros'!F17*(O74-'⚙ Parámetros'!E17))),1)+25/100*MAX('⚙ Parámetros'!D17/(1+2^(-'⚙ Parámetros'!C17*(P74-'⚙ Parámetros'!B17))),'⚙ Parámetros'!G17/(1+2^(-'⚙ Parámetros'!F17*(P74-'⚙ Parámetros'!E17))),1)+20/100*MAX('⚙ Parámetros'!D17/(1+2^(-'⚙ Parámetros'!C17*(Q74-'⚙ Parámetros'!B17))),'⚙ Parámetros'!G17/(1+2^(-'⚙ Parámetros'!F17*(Q74-'⚙ Parámetros'!E17))),1)),0)</f>
        <v>5.9090909090909074</v>
      </c>
      <c r="AE74" s="89">
        <f>IFERROR((30/100*MAX('⚙ Parámetros'!D18/(1+2^(-'⚙ Parámetros'!C18*(R74-'⚙ Parámetros'!B18))),'⚙ Parámetros'!G18/(1+2^(-'⚙ Parámetros'!F18*(R74-'⚙ Parámetros'!E18))),1)*R74+30/100*MAX('⚙ Parámetros'!D18/(1+2^(-'⚙ Parámetros'!C18*(S74-'⚙ Parámetros'!B18))),'⚙ Parámetros'!G18/(1+2^(-'⚙ Parámetros'!F18*(S74-'⚙ Parámetros'!E18))),1)*S74+20/100*MAX('⚙ Parámetros'!D18/(1+2^(-'⚙ Parámetros'!C18*(T74-'⚙ Parámetros'!B18))),'⚙ Parámetros'!G18/(1+2^(-'⚙ Parámetros'!F18*(T74-'⚙ Parámetros'!E18))),1)*T74+20/100*MAX('⚙ Parámetros'!D18/(1+2^(-'⚙ Parámetros'!C18*(U74-'⚙ Parámetros'!B18))),'⚙ Parámetros'!G18/(1+2^(-'⚙ Parámetros'!F18*(U74-'⚙ Parámetros'!E18))),1)*U74)/(30/100*MAX('⚙ Parámetros'!D18/(1+2^(-'⚙ Parámetros'!C18*(R74-'⚙ Parámetros'!B18))),'⚙ Parámetros'!G18/(1+2^(-'⚙ Parámetros'!F18*(R74-'⚙ Parámetros'!E18))),1)+30/100*MAX('⚙ Parámetros'!D18/(1+2^(-'⚙ Parámetros'!C18*(S74-'⚙ Parámetros'!B18))),'⚙ Parámetros'!G18/(1+2^(-'⚙ Parámetros'!F18*(S74-'⚙ Parámetros'!E18))),1)+20/100*MAX('⚙ Parámetros'!D18/(1+2^(-'⚙ Parámetros'!C18*(T74-'⚙ Parámetros'!B18))),'⚙ Parámetros'!G18/(1+2^(-'⚙ Parámetros'!F18*(T74-'⚙ Parámetros'!E18))),1)+20/100*MAX('⚙ Parámetros'!D18/(1+2^(-'⚙ Parámetros'!C18*(U74-'⚙ Parámetros'!B18))),'⚙ Parámetros'!G18/(1+2^(-'⚙ Parámetros'!F18*(U74-'⚙ Parámetros'!E18))),1)),0)</f>
        <v>8.1801060365339655</v>
      </c>
      <c r="AF74" s="89">
        <f>IFERROR((30/100*MAX('⚙ Parámetros'!D19/(1+2^(-'⚙ Parámetros'!C19*(V74-'⚙ Parámetros'!B19))),'⚙ Parámetros'!G19/(1+2^(-'⚙ Parámetros'!F19*(V74-'⚙ Parámetros'!E19))),1)*V74+35/100*MAX('⚙ Parámetros'!D19/(1+2^(-'⚙ Parámetros'!C19*(W74-'⚙ Parámetros'!B19))),'⚙ Parámetros'!G19/(1+2^(-'⚙ Parámetros'!F19*(W74-'⚙ Parámetros'!E19))),1)*W74+35/100*MAX('⚙ Parámetros'!D19/(1+2^(-'⚙ Parámetros'!C19*(X74-'⚙ Parámetros'!B19))),'⚙ Parámetros'!G19/(1+2^(-'⚙ Parámetros'!F19*(X74-'⚙ Parámetros'!E19))),1)*X74)/(30/100*MAX('⚙ Parámetros'!D19/(1+2^(-'⚙ Parámetros'!C19*(V74-'⚙ Parámetros'!B19))),'⚙ Parámetros'!G19/(1+2^(-'⚙ Parámetros'!F19*(V74-'⚙ Parámetros'!E19))),1)+35/100*MAX('⚙ Parámetros'!D19/(1+2^(-'⚙ Parámetros'!C19*(W74-'⚙ Parámetros'!B19))),'⚙ Parámetros'!G19/(1+2^(-'⚙ Parámetros'!F19*(W74-'⚙ Parámetros'!E19))),1)+35/100*MAX('⚙ Parámetros'!D19/(1+2^(-'⚙ Parámetros'!C19*(X74-'⚙ Parámetros'!B19))),'⚙ Parámetros'!G19/(1+2^(-'⚙ Parámetros'!F19*(X74-'⚙ Parámetros'!E19))),1)),0)</f>
        <v>8.0351483057098907</v>
      </c>
      <c r="AG74" s="89">
        <f>IFERROR((35/100*MAX('⚙ Parámetros'!D20/(1+2^(-'⚙ Parámetros'!C20*(Y74-'⚙ Parámetros'!B20))),'⚙ Parámetros'!G20/(1+2^(-'⚙ Parámetros'!F20*(Y74-'⚙ Parámetros'!E20))),1)*Y74+35/100*MAX('⚙ Parámetros'!D20/(1+2^(-'⚙ Parámetros'!C20*(Z74-'⚙ Parámetros'!B20))),'⚙ Parámetros'!G20/(1+2^(-'⚙ Parámetros'!F20*(Z74-'⚙ Parámetros'!E20))),1)*Z74+30/100*MAX('⚙ Parámetros'!D20/(1+2^(-'⚙ Parámetros'!C20*(AA74-'⚙ Parámetros'!B20))),'⚙ Parámetros'!G20/(1+2^(-'⚙ Parámetros'!F20*(AA74-'⚙ Parámetros'!E20))),1)*AA74)/(35/100*MAX('⚙ Parámetros'!D20/(1+2^(-'⚙ Parámetros'!C20*(Y74-'⚙ Parámetros'!B20))),'⚙ Parámetros'!G20/(1+2^(-'⚙ Parámetros'!F20*(Y74-'⚙ Parámetros'!E20))),1)+35/100*MAX('⚙ Parámetros'!D20/(1+2^(-'⚙ Parámetros'!C20*(Z74-'⚙ Parámetros'!B20))),'⚙ Parámetros'!G20/(1+2^(-'⚙ Parámetros'!F20*(Z74-'⚙ Parámetros'!E20))),1)+30/100*MAX('⚙ Parámetros'!D20/(1+2^(-'⚙ Parámetros'!C20*(AA74-'⚙ Parámetros'!B20))),'⚙ Parámetros'!G20/(1+2^(-'⚙ Parámetros'!F20*(AA74-'⚙ Parámetros'!E20))),1)),0)</f>
        <v>3.7272727272727275</v>
      </c>
      <c r="AH74" s="90">
        <f>('⚙ Parámetros'!B5/100*AB74+'⚙ Parámetros'!B6/100*AC74+'⚙ Parámetros'!B7/100*AD74+'⚙ Parámetros'!B8/100*AE74+'⚙ Parámetros'!B9/100*AF74+'⚙ Parámetros'!B10/100*AG74)</f>
        <v>3.8451275549550648</v>
      </c>
      <c r="AI74" s="91">
        <f ca="1">MIN(1+MAX(0,TODAY()-DATE(2026,2,17))/365*'⚙ Parámetros'!B33,'⚙ Parámetros'!B34)</f>
        <v>1.0472602739726027</v>
      </c>
      <c r="AJ74" s="82">
        <f t="shared" ca="1" si="4"/>
        <v>4.0268493366618454</v>
      </c>
      <c r="AK74" s="92" t="str">
        <f ca="1">IF(AB74&gt;='⚙ Parámetros'!B23,"⚑ AUTO-PRIOR.(D1≥8)",IF(AJ74&gt;='⚙ Parámetros'!B23,"PRIORITARIO",IF(AJ74&gt;='⚙ Parámetros'!B24,"ALTA PRIORIDAD",IF(AJ74&gt;='⚙ Parámetros'!B25,"PRIORIDAD MEDIA",IF(AJ74&gt;='⚙ Parámetros'!B26,"BAJA PRIORIDAD","DESCARTAR")))))</f>
        <v>BAJA PRIORIDAD</v>
      </c>
      <c r="AL74" s="69" t="str">
        <f t="shared" si="5"/>
        <v>—</v>
      </c>
      <c r="AM74" s="85">
        <v>14</v>
      </c>
      <c r="AN74" s="83" t="str">
        <f>IF(AM74="","—",IF(AM74&lt;'⚙ Parámetros'!B29,"🟢 Corto",IF(AM74&lt;'⚙ Parámetros'!B30,"🟡 Medio","🔴 Largo")))</f>
        <v>🟢 Corto</v>
      </c>
    </row>
    <row r="75" spans="1:40" ht="18.75" customHeight="1" x14ac:dyDescent="0.25">
      <c r="A75" s="69">
        <v>71</v>
      </c>
      <c r="B75" s="70" t="s">
        <v>280</v>
      </c>
      <c r="C75" s="4" t="s">
        <v>147</v>
      </c>
      <c r="D75" s="71" t="s">
        <v>139</v>
      </c>
      <c r="E75" s="72" t="s">
        <v>154</v>
      </c>
      <c r="F75" s="74">
        <v>1</v>
      </c>
      <c r="G75" s="74">
        <v>1</v>
      </c>
      <c r="H75" s="73">
        <v>5</v>
      </c>
      <c r="I75" s="74">
        <v>1</v>
      </c>
      <c r="J75" s="74">
        <v>1</v>
      </c>
      <c r="K75" s="74">
        <v>1</v>
      </c>
      <c r="L75" s="74">
        <v>1</v>
      </c>
      <c r="M75" s="73">
        <v>3</v>
      </c>
      <c r="N75" s="73">
        <v>7</v>
      </c>
      <c r="O75" s="74">
        <v>1</v>
      </c>
      <c r="P75" s="73">
        <v>7</v>
      </c>
      <c r="Q75" s="73">
        <v>6</v>
      </c>
      <c r="R75" s="73">
        <v>5</v>
      </c>
      <c r="S75" s="73">
        <v>5</v>
      </c>
      <c r="T75" s="73">
        <v>5</v>
      </c>
      <c r="U75" s="73">
        <v>5</v>
      </c>
      <c r="V75" s="77">
        <v>8</v>
      </c>
      <c r="W75" s="73">
        <v>6</v>
      </c>
      <c r="X75" s="77">
        <v>9</v>
      </c>
      <c r="Y75" s="73">
        <v>4</v>
      </c>
      <c r="Z75" s="74">
        <v>2</v>
      </c>
      <c r="AA75" s="73">
        <v>5</v>
      </c>
      <c r="AB75" s="80">
        <f>IFERROR((30/100*MAX('⚙ Parámetros'!D15/(1+2^(-'⚙ Parámetros'!C15*(F75-'⚙ Parámetros'!B15))),'⚙ Parámetros'!G15/(1+2^(-'⚙ Parámetros'!F15*(F75-'⚙ Parámetros'!E15))),1)*F75+30/100*MAX('⚙ Parámetros'!D15/(1+2^(-'⚙ Parámetros'!C15*(G75-'⚙ Parámetros'!B15))),'⚙ Parámetros'!G15/(1+2^(-'⚙ Parámetros'!F15*(G75-'⚙ Parámetros'!E15))),1)*G75+20/100*MAX('⚙ Parámetros'!D15/(1+2^(-'⚙ Parámetros'!C15*(H75-'⚙ Parámetros'!B15))),'⚙ Parámetros'!G15/(1+2^(-'⚙ Parámetros'!F15*(H75-'⚙ Parámetros'!E15))),1)*H75+20/100*MAX('⚙ Parámetros'!D15/(1+2^(-'⚙ Parámetros'!C15*(I75-'⚙ Parámetros'!B15))),'⚙ Parámetros'!G15/(1+2^(-'⚙ Parámetros'!F15*(I75-'⚙ Parámetros'!E15))),1)*I75)/(30/100*MAX('⚙ Parámetros'!D15/(1+2^(-'⚙ Parámetros'!C15*(F75-'⚙ Parámetros'!B15))),'⚙ Parámetros'!G15/(1+2^(-'⚙ Parámetros'!F15*(F75-'⚙ Parámetros'!E15))),1)+30/100*MAX('⚙ Parámetros'!D15/(1+2^(-'⚙ Parámetros'!C15*(G75-'⚙ Parámetros'!B15))),'⚙ Parámetros'!G15/(1+2^(-'⚙ Parámetros'!F15*(G75-'⚙ Parámetros'!E15))),1)+20/100*MAX('⚙ Parámetros'!D15/(1+2^(-'⚙ Parámetros'!C15*(H75-'⚙ Parámetros'!B15))),'⚙ Parámetros'!G15/(1+2^(-'⚙ Parámetros'!F15*(H75-'⚙ Parámetros'!E15))),1)+20/100*MAX('⚙ Parámetros'!D15/(1+2^(-'⚙ Parámetros'!C15*(I75-'⚙ Parámetros'!B15))),'⚙ Parámetros'!G15/(1+2^(-'⚙ Parámetros'!F15*(I75-'⚙ Parámetros'!E15))),1)),0)</f>
        <v>2.1428571428571428</v>
      </c>
      <c r="AC75" s="80">
        <f>IFERROR((35/100*MAX('⚙ Parámetros'!D16/(1+2^(-'⚙ Parámetros'!C16*(J75-'⚙ Parámetros'!B16))),'⚙ Parámetros'!G16/(1+2^(-'⚙ Parámetros'!F16*(J75-'⚙ Parámetros'!E16))),1)*J75+25/100*MAX('⚙ Parámetros'!D16/(1+2^(-'⚙ Parámetros'!C16*(K75-'⚙ Parámetros'!B16))),'⚙ Parámetros'!G16/(1+2^(-'⚙ Parámetros'!F16*(K75-'⚙ Parámetros'!E16))),1)*K75+20/100*MAX('⚙ Parámetros'!D16/(1+2^(-'⚙ Parámetros'!C16*(L75-'⚙ Parámetros'!B16))),'⚙ Parámetros'!G16/(1+2^(-'⚙ Parámetros'!F16*(L75-'⚙ Parámetros'!E16))),1)*L75+20/100*MAX('⚙ Parámetros'!D16/(1+2^(-'⚙ Parámetros'!C16*(M75-'⚙ Parámetros'!B16))),'⚙ Parámetros'!G16/(1+2^(-'⚙ Parámetros'!F16*(M75-'⚙ Parámetros'!E16))),1)*M75)/(35/100*MAX('⚙ Parámetros'!D16/(1+2^(-'⚙ Parámetros'!C16*(J75-'⚙ Parámetros'!B16))),'⚙ Parámetros'!G16/(1+2^(-'⚙ Parámetros'!F16*(J75-'⚙ Parámetros'!E16))),1)+25/100*MAX('⚙ Parámetros'!D16/(1+2^(-'⚙ Parámetros'!C16*(K75-'⚙ Parámetros'!B16))),'⚙ Parámetros'!G16/(1+2^(-'⚙ Parámetros'!F16*(K75-'⚙ Parámetros'!E16))),1)+20/100*MAX('⚙ Parámetros'!D16/(1+2^(-'⚙ Parámetros'!C16*(L75-'⚙ Parámetros'!B16))),'⚙ Parámetros'!G16/(1+2^(-'⚙ Parámetros'!F16*(L75-'⚙ Parámetros'!E16))),1)+20/100*MAX('⚙ Parámetros'!D16/(1+2^(-'⚙ Parámetros'!C16*(M75-'⚙ Parámetros'!B16))),'⚙ Parámetros'!G16/(1+2^(-'⚙ Parámetros'!F16*(M75-'⚙ Parámetros'!E16))),1)),0)</f>
        <v>1.4000000000000001</v>
      </c>
      <c r="AD75" s="80">
        <f>IFERROR((30/100*MAX('⚙ Parámetros'!D17/(1+2^(-'⚙ Parámetros'!C17*(N75-'⚙ Parámetros'!B17))),'⚙ Parámetros'!G17/(1+2^(-'⚙ Parámetros'!F17*(N75-'⚙ Parámetros'!E17))),1)*N75+25/100*MAX('⚙ Parámetros'!D17/(1+2^(-'⚙ Parámetros'!C17*(O75-'⚙ Parámetros'!B17))),'⚙ Parámetros'!G17/(1+2^(-'⚙ Parámetros'!F17*(O75-'⚙ Parámetros'!E17))),1)*O75+25/100*MAX('⚙ Parámetros'!D17/(1+2^(-'⚙ Parámetros'!C17*(P75-'⚙ Parámetros'!B17))),'⚙ Parámetros'!G17/(1+2^(-'⚙ Parámetros'!F17*(P75-'⚙ Parámetros'!E17))),1)*P75+20/100*MAX('⚙ Parámetros'!D17/(1+2^(-'⚙ Parámetros'!C17*(Q75-'⚙ Parámetros'!B17))),'⚙ Parámetros'!G17/(1+2^(-'⚙ Parámetros'!F17*(Q75-'⚙ Parámetros'!E17))),1)*Q75)/(30/100*MAX('⚙ Parámetros'!D17/(1+2^(-'⚙ Parámetros'!C17*(N75-'⚙ Parámetros'!B17))),'⚙ Parámetros'!G17/(1+2^(-'⚙ Parámetros'!F17*(N75-'⚙ Parámetros'!E17))),1)+25/100*MAX('⚙ Parámetros'!D17/(1+2^(-'⚙ Parámetros'!C17*(O75-'⚙ Parámetros'!B17))),'⚙ Parámetros'!G17/(1+2^(-'⚙ Parámetros'!F17*(O75-'⚙ Parámetros'!E17))),1)+25/100*MAX('⚙ Parámetros'!D17/(1+2^(-'⚙ Parámetros'!C17*(P75-'⚙ Parámetros'!B17))),'⚙ Parámetros'!G17/(1+2^(-'⚙ Parámetros'!F17*(P75-'⚙ Parámetros'!E17))),1)+20/100*MAX('⚙ Parámetros'!D17/(1+2^(-'⚙ Parámetros'!C17*(Q75-'⚙ Parámetros'!B17))),'⚙ Parámetros'!G17/(1+2^(-'⚙ Parámetros'!F17*(Q75-'⚙ Parámetros'!E17))),1)),0)</f>
        <v>6.0986342943854321</v>
      </c>
      <c r="AE75" s="80">
        <f>IFERROR((30/100*MAX('⚙ Parámetros'!D18/(1+2^(-'⚙ Parámetros'!C18*(R75-'⚙ Parámetros'!B18))),'⚙ Parámetros'!G18/(1+2^(-'⚙ Parámetros'!F18*(R75-'⚙ Parámetros'!E18))),1)*R75+30/100*MAX('⚙ Parámetros'!D18/(1+2^(-'⚙ Parámetros'!C18*(S75-'⚙ Parámetros'!B18))),'⚙ Parámetros'!G18/(1+2^(-'⚙ Parámetros'!F18*(S75-'⚙ Parámetros'!E18))),1)*S75+20/100*MAX('⚙ Parámetros'!D18/(1+2^(-'⚙ Parámetros'!C18*(T75-'⚙ Parámetros'!B18))),'⚙ Parámetros'!G18/(1+2^(-'⚙ Parámetros'!F18*(T75-'⚙ Parámetros'!E18))),1)*T75+20/100*MAX('⚙ Parámetros'!D18/(1+2^(-'⚙ Parámetros'!C18*(U75-'⚙ Parámetros'!B18))),'⚙ Parámetros'!G18/(1+2^(-'⚙ Parámetros'!F18*(U75-'⚙ Parámetros'!E18))),1)*U75)/(30/100*MAX('⚙ Parámetros'!D18/(1+2^(-'⚙ Parámetros'!C18*(R75-'⚙ Parámetros'!B18))),'⚙ Parámetros'!G18/(1+2^(-'⚙ Parámetros'!F18*(R75-'⚙ Parámetros'!E18))),1)+30/100*MAX('⚙ Parámetros'!D18/(1+2^(-'⚙ Parámetros'!C18*(S75-'⚙ Parámetros'!B18))),'⚙ Parámetros'!G18/(1+2^(-'⚙ Parámetros'!F18*(S75-'⚙ Parámetros'!E18))),1)+20/100*MAX('⚙ Parámetros'!D18/(1+2^(-'⚙ Parámetros'!C18*(T75-'⚙ Parámetros'!B18))),'⚙ Parámetros'!G18/(1+2^(-'⚙ Parámetros'!F18*(T75-'⚙ Parámetros'!E18))),1)+20/100*MAX('⚙ Parámetros'!D18/(1+2^(-'⚙ Parámetros'!C18*(U75-'⚙ Parámetros'!B18))),'⚙ Parámetros'!G18/(1+2^(-'⚙ Parámetros'!F18*(U75-'⚙ Parámetros'!E18))),1)),0)</f>
        <v>5</v>
      </c>
      <c r="AF75" s="80">
        <f>IFERROR((30/100*MAX('⚙ Parámetros'!D19/(1+2^(-'⚙ Parámetros'!C19*(V75-'⚙ Parámetros'!B19))),'⚙ Parámetros'!G19/(1+2^(-'⚙ Parámetros'!F19*(V75-'⚙ Parámetros'!E19))),1)*V75+35/100*MAX('⚙ Parámetros'!D19/(1+2^(-'⚙ Parámetros'!C19*(W75-'⚙ Parámetros'!B19))),'⚙ Parámetros'!G19/(1+2^(-'⚙ Parámetros'!F19*(W75-'⚙ Parámetros'!E19))),1)*W75+35/100*MAX('⚙ Parámetros'!D19/(1+2^(-'⚙ Parámetros'!C19*(X75-'⚙ Parámetros'!B19))),'⚙ Parámetros'!G19/(1+2^(-'⚙ Parámetros'!F19*(X75-'⚙ Parámetros'!E19))),1)*X75)/(30/100*MAX('⚙ Parámetros'!D19/(1+2^(-'⚙ Parámetros'!C19*(V75-'⚙ Parámetros'!B19))),'⚙ Parámetros'!G19/(1+2^(-'⚙ Parámetros'!F19*(V75-'⚙ Parámetros'!E19))),1)+35/100*MAX('⚙ Parámetros'!D19/(1+2^(-'⚙ Parámetros'!C19*(W75-'⚙ Parámetros'!B19))),'⚙ Parámetros'!G19/(1+2^(-'⚙ Parámetros'!F19*(W75-'⚙ Parámetros'!E19))),1)+35/100*MAX('⚙ Parámetros'!D19/(1+2^(-'⚙ Parámetros'!C19*(X75-'⚙ Parámetros'!B19))),'⚙ Parámetros'!G19/(1+2^(-'⚙ Parámetros'!F19*(X75-'⚙ Parámetros'!E19))),1)),0)</f>
        <v>8.0351483057098907</v>
      </c>
      <c r="AG75" s="80">
        <f>IFERROR((35/100*MAX('⚙ Parámetros'!D20/(1+2^(-'⚙ Parámetros'!C20*(Y75-'⚙ Parámetros'!B20))),'⚙ Parámetros'!G20/(1+2^(-'⚙ Parámetros'!F20*(Y75-'⚙ Parámetros'!E20))),1)*Y75+35/100*MAX('⚙ Parámetros'!D20/(1+2^(-'⚙ Parámetros'!C20*(Z75-'⚙ Parámetros'!B20))),'⚙ Parámetros'!G20/(1+2^(-'⚙ Parámetros'!F20*(Z75-'⚙ Parámetros'!E20))),1)*Z75+30/100*MAX('⚙ Parámetros'!D20/(1+2^(-'⚙ Parámetros'!C20*(AA75-'⚙ Parámetros'!B20))),'⚙ Parámetros'!G20/(1+2^(-'⚙ Parámetros'!F20*(AA75-'⚙ Parámetros'!E20))),1)*AA75)/(35/100*MAX('⚙ Parámetros'!D20/(1+2^(-'⚙ Parámetros'!C20*(Y75-'⚙ Parámetros'!B20))),'⚙ Parámetros'!G20/(1+2^(-'⚙ Parámetros'!F20*(Y75-'⚙ Parámetros'!E20))),1)+35/100*MAX('⚙ Parámetros'!D20/(1+2^(-'⚙ Parámetros'!C20*(Z75-'⚙ Parámetros'!B20))),'⚙ Parámetros'!G20/(1+2^(-'⚙ Parámetros'!F20*(Z75-'⚙ Parámetros'!E20))),1)+30/100*MAX('⚙ Parámetros'!D20/(1+2^(-'⚙ Parámetros'!C20*(AA75-'⚙ Parámetros'!B20))),'⚙ Parámetros'!G20/(1+2^(-'⚙ Parámetros'!F20*(AA75-'⚙ Parámetros'!E20))),1)),0)</f>
        <v>3.7272727272727275</v>
      </c>
      <c r="AH75" s="81">
        <f>('⚙ Parámetros'!B5/100*AB75+'⚙ Parámetros'!B6/100*AC75+'⚙ Parámetros'!B7/100*AD75+'⚙ Parámetros'!B8/100*AE75+'⚙ Parámetros'!B9/100*AF75+'⚙ Parámetros'!B10/100*AG75)</f>
        <v>3.8442806504870366</v>
      </c>
      <c r="AI75" s="33">
        <f ca="1">MIN(1+MAX(0,TODAY()-DATE(2024,9,13))/365*'⚙ Parámetros'!B33,'⚙ Parámetros'!B34)</f>
        <v>1.25</v>
      </c>
      <c r="AJ75" s="82">
        <f t="shared" ca="1" si="4"/>
        <v>4.8053508131087961</v>
      </c>
      <c r="AK75" s="83" t="str">
        <f ca="1">IF(AB75&gt;='⚙ Parámetros'!B23,"⚑ AUTO-PRIOR.(D1≥8)",IF(AJ75&gt;='⚙ Parámetros'!B23,"PRIORITARIO",IF(AJ75&gt;='⚙ Parámetros'!B24,"ALTA PRIORIDAD",IF(AJ75&gt;='⚙ Parámetros'!B25,"PRIORIDAD MEDIA",IF(AJ75&gt;='⚙ Parámetros'!B26,"BAJA PRIORIDAD","DESCARTAR")))))</f>
        <v>BAJA PRIORIDAD</v>
      </c>
      <c r="AL75" s="84" t="str">
        <f t="shared" si="5"/>
        <v>—</v>
      </c>
      <c r="AM75" s="85">
        <v>38</v>
      </c>
      <c r="AN75" s="83" t="str">
        <f>IF(AM75="","—",IF(AM75&lt;'⚙ Parámetros'!B29,"🟢 Corto",IF(AM75&lt;'⚙ Parámetros'!B30,"🟡 Medio","🔴 Largo")))</f>
        <v>🟡 Medio</v>
      </c>
    </row>
    <row r="76" spans="1:40" ht="18.75" customHeight="1" x14ac:dyDescent="0.25">
      <c r="A76" s="69">
        <v>72</v>
      </c>
      <c r="B76" s="30" t="s">
        <v>281</v>
      </c>
      <c r="C76" s="26" t="s">
        <v>147</v>
      </c>
      <c r="D76" s="71" t="s">
        <v>139</v>
      </c>
      <c r="E76" s="72" t="s">
        <v>282</v>
      </c>
      <c r="F76" s="74">
        <v>1</v>
      </c>
      <c r="G76" s="74">
        <v>1</v>
      </c>
      <c r="H76" s="86">
        <v>5</v>
      </c>
      <c r="I76" s="74">
        <v>1</v>
      </c>
      <c r="J76" s="74">
        <v>1</v>
      </c>
      <c r="K76" s="74">
        <v>1</v>
      </c>
      <c r="L76" s="74">
        <v>1</v>
      </c>
      <c r="M76" s="86">
        <v>3</v>
      </c>
      <c r="N76" s="86">
        <v>7</v>
      </c>
      <c r="O76" s="87">
        <v>8</v>
      </c>
      <c r="P76" s="86">
        <v>7</v>
      </c>
      <c r="Q76" s="86">
        <v>6</v>
      </c>
      <c r="R76" s="86">
        <v>5</v>
      </c>
      <c r="S76" s="86">
        <v>5</v>
      </c>
      <c r="T76" s="86">
        <v>5</v>
      </c>
      <c r="U76" s="86">
        <v>5</v>
      </c>
      <c r="V76" s="86">
        <v>5</v>
      </c>
      <c r="W76" s="86">
        <v>6</v>
      </c>
      <c r="X76" s="86">
        <v>6</v>
      </c>
      <c r="Y76" s="86">
        <v>4</v>
      </c>
      <c r="Z76" s="74">
        <v>2</v>
      </c>
      <c r="AA76" s="86">
        <v>5</v>
      </c>
      <c r="AB76" s="89">
        <f>IFERROR((30/100*MAX('⚙ Parámetros'!D15/(1+2^(-'⚙ Parámetros'!C15*(F76-'⚙ Parámetros'!B15))),'⚙ Parámetros'!G15/(1+2^(-'⚙ Parámetros'!F15*(F76-'⚙ Parámetros'!E15))),1)*F76+30/100*MAX('⚙ Parámetros'!D15/(1+2^(-'⚙ Parámetros'!C15*(G76-'⚙ Parámetros'!B15))),'⚙ Parámetros'!G15/(1+2^(-'⚙ Parámetros'!F15*(G76-'⚙ Parámetros'!E15))),1)*G76+20/100*MAX('⚙ Parámetros'!D15/(1+2^(-'⚙ Parámetros'!C15*(H76-'⚙ Parámetros'!B15))),'⚙ Parámetros'!G15/(1+2^(-'⚙ Parámetros'!F15*(H76-'⚙ Parámetros'!E15))),1)*H76+20/100*MAX('⚙ Parámetros'!D15/(1+2^(-'⚙ Parámetros'!C15*(I76-'⚙ Parámetros'!B15))),'⚙ Parámetros'!G15/(1+2^(-'⚙ Parámetros'!F15*(I76-'⚙ Parámetros'!E15))),1)*I76)/(30/100*MAX('⚙ Parámetros'!D15/(1+2^(-'⚙ Parámetros'!C15*(F76-'⚙ Parámetros'!B15))),'⚙ Parámetros'!G15/(1+2^(-'⚙ Parámetros'!F15*(F76-'⚙ Parámetros'!E15))),1)+30/100*MAX('⚙ Parámetros'!D15/(1+2^(-'⚙ Parámetros'!C15*(G76-'⚙ Parámetros'!B15))),'⚙ Parámetros'!G15/(1+2^(-'⚙ Parámetros'!F15*(G76-'⚙ Parámetros'!E15))),1)+20/100*MAX('⚙ Parámetros'!D15/(1+2^(-'⚙ Parámetros'!C15*(H76-'⚙ Parámetros'!B15))),'⚙ Parámetros'!G15/(1+2^(-'⚙ Parámetros'!F15*(H76-'⚙ Parámetros'!E15))),1)+20/100*MAX('⚙ Parámetros'!D15/(1+2^(-'⚙ Parámetros'!C15*(I76-'⚙ Parámetros'!B15))),'⚙ Parámetros'!G15/(1+2^(-'⚙ Parámetros'!F15*(I76-'⚙ Parámetros'!E15))),1)),0)</f>
        <v>2.1428571428571428</v>
      </c>
      <c r="AC76" s="89">
        <f>IFERROR((35/100*MAX('⚙ Parámetros'!D16/(1+2^(-'⚙ Parámetros'!C16*(J76-'⚙ Parámetros'!B16))),'⚙ Parámetros'!G16/(1+2^(-'⚙ Parámetros'!F16*(J76-'⚙ Parámetros'!E16))),1)*J76+25/100*MAX('⚙ Parámetros'!D16/(1+2^(-'⚙ Parámetros'!C16*(K76-'⚙ Parámetros'!B16))),'⚙ Parámetros'!G16/(1+2^(-'⚙ Parámetros'!F16*(K76-'⚙ Parámetros'!E16))),1)*K76+20/100*MAX('⚙ Parámetros'!D16/(1+2^(-'⚙ Parámetros'!C16*(L76-'⚙ Parámetros'!B16))),'⚙ Parámetros'!G16/(1+2^(-'⚙ Parámetros'!F16*(L76-'⚙ Parámetros'!E16))),1)*L76+20/100*MAX('⚙ Parámetros'!D16/(1+2^(-'⚙ Parámetros'!C16*(M76-'⚙ Parámetros'!B16))),'⚙ Parámetros'!G16/(1+2^(-'⚙ Parámetros'!F16*(M76-'⚙ Parámetros'!E16))),1)*M76)/(35/100*MAX('⚙ Parámetros'!D16/(1+2^(-'⚙ Parámetros'!C16*(J76-'⚙ Parámetros'!B16))),'⚙ Parámetros'!G16/(1+2^(-'⚙ Parámetros'!F16*(J76-'⚙ Parámetros'!E16))),1)+25/100*MAX('⚙ Parámetros'!D16/(1+2^(-'⚙ Parámetros'!C16*(K76-'⚙ Parámetros'!B16))),'⚙ Parámetros'!G16/(1+2^(-'⚙ Parámetros'!F16*(K76-'⚙ Parámetros'!E16))),1)+20/100*MAX('⚙ Parámetros'!D16/(1+2^(-'⚙ Parámetros'!C16*(L76-'⚙ Parámetros'!B16))),'⚙ Parámetros'!G16/(1+2^(-'⚙ Parámetros'!F16*(L76-'⚙ Parámetros'!E16))),1)+20/100*MAX('⚙ Parámetros'!D16/(1+2^(-'⚙ Parámetros'!C16*(M76-'⚙ Parámetros'!B16))),'⚙ Parámetros'!G16/(1+2^(-'⚙ Parámetros'!F16*(M76-'⚙ Parámetros'!E16))),1)),0)</f>
        <v>1.4000000000000001</v>
      </c>
      <c r="AD76" s="89">
        <f>IFERROR((30/100*MAX('⚙ Parámetros'!D17/(1+2^(-'⚙ Parámetros'!C17*(N76-'⚙ Parámetros'!B17))),'⚙ Parámetros'!G17/(1+2^(-'⚙ Parámetros'!F17*(N76-'⚙ Parámetros'!E17))),1)*N76+25/100*MAX('⚙ Parámetros'!D17/(1+2^(-'⚙ Parámetros'!C17*(O76-'⚙ Parámetros'!B17))),'⚙ Parámetros'!G17/(1+2^(-'⚙ Parámetros'!F17*(O76-'⚙ Parámetros'!E17))),1)*O76+25/100*MAX('⚙ Parámetros'!D17/(1+2^(-'⚙ Parámetros'!C17*(P76-'⚙ Parámetros'!B17))),'⚙ Parámetros'!G17/(1+2^(-'⚙ Parámetros'!F17*(P76-'⚙ Parámetros'!E17))),1)*P76+20/100*MAX('⚙ Parámetros'!D17/(1+2^(-'⚙ Parámetros'!C17*(Q76-'⚙ Parámetros'!B17))),'⚙ Parámetros'!G17/(1+2^(-'⚙ Parámetros'!F17*(Q76-'⚙ Parámetros'!E17))),1)*Q76)/(30/100*MAX('⚙ Parámetros'!D17/(1+2^(-'⚙ Parámetros'!C17*(N76-'⚙ Parámetros'!B17))),'⚙ Parámetros'!G17/(1+2^(-'⚙ Parámetros'!F17*(N76-'⚙ Parámetros'!E17))),1)+25/100*MAX('⚙ Parámetros'!D17/(1+2^(-'⚙ Parámetros'!C17*(O76-'⚙ Parámetros'!B17))),'⚙ Parámetros'!G17/(1+2^(-'⚙ Parámetros'!F17*(O76-'⚙ Parámetros'!E17))),1)+25/100*MAX('⚙ Parámetros'!D17/(1+2^(-'⚙ Parámetros'!C17*(P76-'⚙ Parámetros'!B17))),'⚙ Parámetros'!G17/(1+2^(-'⚙ Parámetros'!F17*(P76-'⚙ Parámetros'!E17))),1)+20/100*MAX('⚙ Parámetros'!D17/(1+2^(-'⚙ Parámetros'!C17*(Q76-'⚙ Parámetros'!B17))),'⚙ Parámetros'!G17/(1+2^(-'⚙ Parámetros'!F17*(Q76-'⚙ Parámetros'!E17))),1)),0)</f>
        <v>7.1764705882352944</v>
      </c>
      <c r="AE76" s="89">
        <f>IFERROR((30/100*MAX('⚙ Parámetros'!D18/(1+2^(-'⚙ Parámetros'!C18*(R76-'⚙ Parámetros'!B18))),'⚙ Parámetros'!G18/(1+2^(-'⚙ Parámetros'!F18*(R76-'⚙ Parámetros'!E18))),1)*R76+30/100*MAX('⚙ Parámetros'!D18/(1+2^(-'⚙ Parámetros'!C18*(S76-'⚙ Parámetros'!B18))),'⚙ Parámetros'!G18/(1+2^(-'⚙ Parámetros'!F18*(S76-'⚙ Parámetros'!E18))),1)*S76+20/100*MAX('⚙ Parámetros'!D18/(1+2^(-'⚙ Parámetros'!C18*(T76-'⚙ Parámetros'!B18))),'⚙ Parámetros'!G18/(1+2^(-'⚙ Parámetros'!F18*(T76-'⚙ Parámetros'!E18))),1)*T76+20/100*MAX('⚙ Parámetros'!D18/(1+2^(-'⚙ Parámetros'!C18*(U76-'⚙ Parámetros'!B18))),'⚙ Parámetros'!G18/(1+2^(-'⚙ Parámetros'!F18*(U76-'⚙ Parámetros'!E18))),1)*U76)/(30/100*MAX('⚙ Parámetros'!D18/(1+2^(-'⚙ Parámetros'!C18*(R76-'⚙ Parámetros'!B18))),'⚙ Parámetros'!G18/(1+2^(-'⚙ Parámetros'!F18*(R76-'⚙ Parámetros'!E18))),1)+30/100*MAX('⚙ Parámetros'!D18/(1+2^(-'⚙ Parámetros'!C18*(S76-'⚙ Parámetros'!B18))),'⚙ Parámetros'!G18/(1+2^(-'⚙ Parámetros'!F18*(S76-'⚙ Parámetros'!E18))),1)+20/100*MAX('⚙ Parámetros'!D18/(1+2^(-'⚙ Parámetros'!C18*(T76-'⚙ Parámetros'!B18))),'⚙ Parámetros'!G18/(1+2^(-'⚙ Parámetros'!F18*(T76-'⚙ Parámetros'!E18))),1)+20/100*MAX('⚙ Parámetros'!D18/(1+2^(-'⚙ Parámetros'!C18*(U76-'⚙ Parámetros'!B18))),'⚙ Parámetros'!G18/(1+2^(-'⚙ Parámetros'!F18*(U76-'⚙ Parámetros'!E18))),1)),0)</f>
        <v>5</v>
      </c>
      <c r="AF76" s="89">
        <f>IFERROR((30/100*MAX('⚙ Parámetros'!D19/(1+2^(-'⚙ Parámetros'!C19*(V76-'⚙ Parámetros'!B19))),'⚙ Parámetros'!G19/(1+2^(-'⚙ Parámetros'!F19*(V76-'⚙ Parámetros'!E19))),1)*V76+35/100*MAX('⚙ Parámetros'!D19/(1+2^(-'⚙ Parámetros'!C19*(W76-'⚙ Parámetros'!B19))),'⚙ Parámetros'!G19/(1+2^(-'⚙ Parámetros'!F19*(W76-'⚙ Parámetros'!E19))),1)*W76+35/100*MAX('⚙ Parámetros'!D19/(1+2^(-'⚙ Parámetros'!C19*(X76-'⚙ Parámetros'!B19))),'⚙ Parámetros'!G19/(1+2^(-'⚙ Parámetros'!F19*(X76-'⚙ Parámetros'!E19))),1)*X76)/(30/100*MAX('⚙ Parámetros'!D19/(1+2^(-'⚙ Parámetros'!C19*(V76-'⚙ Parámetros'!B19))),'⚙ Parámetros'!G19/(1+2^(-'⚙ Parámetros'!F19*(V76-'⚙ Parámetros'!E19))),1)+35/100*MAX('⚙ Parámetros'!D19/(1+2^(-'⚙ Parámetros'!C19*(W76-'⚙ Parámetros'!B19))),'⚙ Parámetros'!G19/(1+2^(-'⚙ Parámetros'!F19*(W76-'⚙ Parámetros'!E19))),1)+35/100*MAX('⚙ Parámetros'!D19/(1+2^(-'⚙ Parámetros'!C19*(X76-'⚙ Parámetros'!B19))),'⚙ Parámetros'!G19/(1+2^(-'⚙ Parámetros'!F19*(X76-'⚙ Parámetros'!E19))),1)),0)</f>
        <v>5.7368421052631575</v>
      </c>
      <c r="AG76" s="89">
        <f>IFERROR((35/100*MAX('⚙ Parámetros'!D20/(1+2^(-'⚙ Parámetros'!C20*(Y76-'⚙ Parámetros'!B20))),'⚙ Parámetros'!G20/(1+2^(-'⚙ Parámetros'!F20*(Y76-'⚙ Parámetros'!E20))),1)*Y76+35/100*MAX('⚙ Parámetros'!D20/(1+2^(-'⚙ Parámetros'!C20*(Z76-'⚙ Parámetros'!B20))),'⚙ Parámetros'!G20/(1+2^(-'⚙ Parámetros'!F20*(Z76-'⚙ Parámetros'!E20))),1)*Z76+30/100*MAX('⚙ Parámetros'!D20/(1+2^(-'⚙ Parámetros'!C20*(AA76-'⚙ Parámetros'!B20))),'⚙ Parámetros'!G20/(1+2^(-'⚙ Parámetros'!F20*(AA76-'⚙ Parámetros'!E20))),1)*AA76)/(35/100*MAX('⚙ Parámetros'!D20/(1+2^(-'⚙ Parámetros'!C20*(Y76-'⚙ Parámetros'!B20))),'⚙ Parámetros'!G20/(1+2^(-'⚙ Parámetros'!F20*(Y76-'⚙ Parámetros'!E20))),1)+35/100*MAX('⚙ Parámetros'!D20/(1+2^(-'⚙ Parámetros'!C20*(Z76-'⚙ Parámetros'!B20))),'⚙ Parámetros'!G20/(1+2^(-'⚙ Parámetros'!F20*(Z76-'⚙ Parámetros'!E20))),1)+30/100*MAX('⚙ Parámetros'!D20/(1+2^(-'⚙ Parámetros'!C20*(AA76-'⚙ Parámetros'!B20))),'⚙ Parámetros'!G20/(1+2^(-'⚙ Parámetros'!F20*(AA76-'⚙ Parámetros'!E20))),1)),0)</f>
        <v>3.7272727272727275</v>
      </c>
      <c r="AH76" s="90">
        <f>('⚙ Parámetros'!B5/100*AB76+'⚙ Parámetros'!B6/100*AC76+'⚙ Parámetros'!B7/100*AD76+'⚙ Parámetros'!B8/100*AE76+'⚙ Parámetros'!B9/100*AF76+'⚙ Parámetros'!B10/100*AG76)</f>
        <v>3.8300172892123361</v>
      </c>
      <c r="AI76" s="91">
        <f ca="1">MIN(1+MAX(0,TODAY()-DATE(2026,2,11))/365*'⚙ Parámetros'!B33,'⚙ Parámetros'!B34)</f>
        <v>1.0497260273972602</v>
      </c>
      <c r="AJ76" s="82">
        <f t="shared" ca="1" si="4"/>
        <v>4.0204688338676888</v>
      </c>
      <c r="AK76" s="92" t="str">
        <f ca="1">IF(AB76&gt;='⚙ Parámetros'!B23,"⚑ AUTO-PRIOR.(D1≥8)",IF(AJ76&gt;='⚙ Parámetros'!B23,"PRIORITARIO",IF(AJ76&gt;='⚙ Parámetros'!B24,"ALTA PRIORIDAD",IF(AJ76&gt;='⚙ Parámetros'!B25,"PRIORIDAD MEDIA",IF(AJ76&gt;='⚙ Parámetros'!B26,"BAJA PRIORIDAD","DESCARTAR")))))</f>
        <v>BAJA PRIORIDAD</v>
      </c>
      <c r="AL76" s="69" t="str">
        <f t="shared" si="5"/>
        <v>—</v>
      </c>
      <c r="AM76" s="85">
        <v>17</v>
      </c>
      <c r="AN76" s="83" t="str">
        <f>IF(AM76="","—",IF(AM76&lt;'⚙ Parámetros'!B29,"🟢 Corto",IF(AM76&lt;'⚙ Parámetros'!B30,"🟡 Medio","🔴 Largo")))</f>
        <v>🟢 Corto</v>
      </c>
    </row>
    <row r="77" spans="1:40" ht="18.75" customHeight="1" x14ac:dyDescent="0.25">
      <c r="A77" s="69">
        <v>73</v>
      </c>
      <c r="B77" s="70" t="s">
        <v>283</v>
      </c>
      <c r="C77" s="4" t="s">
        <v>138</v>
      </c>
      <c r="D77" s="71" t="s">
        <v>139</v>
      </c>
      <c r="E77" s="72" t="s">
        <v>284</v>
      </c>
      <c r="F77" s="74">
        <v>1</v>
      </c>
      <c r="G77" s="74">
        <v>1</v>
      </c>
      <c r="H77" s="73">
        <v>5</v>
      </c>
      <c r="I77" s="74">
        <v>1</v>
      </c>
      <c r="J77" s="74">
        <v>1</v>
      </c>
      <c r="K77" s="74">
        <v>1</v>
      </c>
      <c r="L77" s="74">
        <v>1</v>
      </c>
      <c r="M77" s="73">
        <v>3</v>
      </c>
      <c r="N77" s="73">
        <v>7</v>
      </c>
      <c r="O77" s="74">
        <v>1</v>
      </c>
      <c r="P77" s="73">
        <v>7</v>
      </c>
      <c r="Q77" s="74">
        <v>1</v>
      </c>
      <c r="R77" s="73">
        <v>5</v>
      </c>
      <c r="S77" s="73">
        <v>5</v>
      </c>
      <c r="T77" s="73">
        <v>5</v>
      </c>
      <c r="U77" s="73">
        <v>5</v>
      </c>
      <c r="V77" s="77">
        <v>8</v>
      </c>
      <c r="W77" s="73">
        <v>6</v>
      </c>
      <c r="X77" s="77">
        <v>9</v>
      </c>
      <c r="Y77" s="73">
        <v>4</v>
      </c>
      <c r="Z77" s="74">
        <v>2</v>
      </c>
      <c r="AA77" s="73">
        <v>5</v>
      </c>
      <c r="AB77" s="80">
        <f>IFERROR((30/100*MAX('⚙ Parámetros'!D15/(1+2^(-'⚙ Parámetros'!C15*(F77-'⚙ Parámetros'!B15))),'⚙ Parámetros'!G15/(1+2^(-'⚙ Parámetros'!F15*(F77-'⚙ Parámetros'!E15))),1)*F77+30/100*MAX('⚙ Parámetros'!D15/(1+2^(-'⚙ Parámetros'!C15*(G77-'⚙ Parámetros'!B15))),'⚙ Parámetros'!G15/(1+2^(-'⚙ Parámetros'!F15*(G77-'⚙ Parámetros'!E15))),1)*G77+20/100*MAX('⚙ Parámetros'!D15/(1+2^(-'⚙ Parámetros'!C15*(H77-'⚙ Parámetros'!B15))),'⚙ Parámetros'!G15/(1+2^(-'⚙ Parámetros'!F15*(H77-'⚙ Parámetros'!E15))),1)*H77+20/100*MAX('⚙ Parámetros'!D15/(1+2^(-'⚙ Parámetros'!C15*(I77-'⚙ Parámetros'!B15))),'⚙ Parámetros'!G15/(1+2^(-'⚙ Parámetros'!F15*(I77-'⚙ Parámetros'!E15))),1)*I77)/(30/100*MAX('⚙ Parámetros'!D15/(1+2^(-'⚙ Parámetros'!C15*(F77-'⚙ Parámetros'!B15))),'⚙ Parámetros'!G15/(1+2^(-'⚙ Parámetros'!F15*(F77-'⚙ Parámetros'!E15))),1)+30/100*MAX('⚙ Parámetros'!D15/(1+2^(-'⚙ Parámetros'!C15*(G77-'⚙ Parámetros'!B15))),'⚙ Parámetros'!G15/(1+2^(-'⚙ Parámetros'!F15*(G77-'⚙ Parámetros'!E15))),1)+20/100*MAX('⚙ Parámetros'!D15/(1+2^(-'⚙ Parámetros'!C15*(H77-'⚙ Parámetros'!B15))),'⚙ Parámetros'!G15/(1+2^(-'⚙ Parámetros'!F15*(H77-'⚙ Parámetros'!E15))),1)+20/100*MAX('⚙ Parámetros'!D15/(1+2^(-'⚙ Parámetros'!C15*(I77-'⚙ Parámetros'!B15))),'⚙ Parámetros'!G15/(1+2^(-'⚙ Parámetros'!F15*(I77-'⚙ Parámetros'!E15))),1)),0)</f>
        <v>2.1428571428571428</v>
      </c>
      <c r="AC77" s="80">
        <f>IFERROR((35/100*MAX('⚙ Parámetros'!D16/(1+2^(-'⚙ Parámetros'!C16*(J77-'⚙ Parámetros'!B16))),'⚙ Parámetros'!G16/(1+2^(-'⚙ Parámetros'!F16*(J77-'⚙ Parámetros'!E16))),1)*J77+25/100*MAX('⚙ Parámetros'!D16/(1+2^(-'⚙ Parámetros'!C16*(K77-'⚙ Parámetros'!B16))),'⚙ Parámetros'!G16/(1+2^(-'⚙ Parámetros'!F16*(K77-'⚙ Parámetros'!E16))),1)*K77+20/100*MAX('⚙ Parámetros'!D16/(1+2^(-'⚙ Parámetros'!C16*(L77-'⚙ Parámetros'!B16))),'⚙ Parámetros'!G16/(1+2^(-'⚙ Parámetros'!F16*(L77-'⚙ Parámetros'!E16))),1)*L77+20/100*MAX('⚙ Parámetros'!D16/(1+2^(-'⚙ Parámetros'!C16*(M77-'⚙ Parámetros'!B16))),'⚙ Parámetros'!G16/(1+2^(-'⚙ Parámetros'!F16*(M77-'⚙ Parámetros'!E16))),1)*M77)/(35/100*MAX('⚙ Parámetros'!D16/(1+2^(-'⚙ Parámetros'!C16*(J77-'⚙ Parámetros'!B16))),'⚙ Parámetros'!G16/(1+2^(-'⚙ Parámetros'!F16*(J77-'⚙ Parámetros'!E16))),1)+25/100*MAX('⚙ Parámetros'!D16/(1+2^(-'⚙ Parámetros'!C16*(K77-'⚙ Parámetros'!B16))),'⚙ Parámetros'!G16/(1+2^(-'⚙ Parámetros'!F16*(K77-'⚙ Parámetros'!E16))),1)+20/100*MAX('⚙ Parámetros'!D16/(1+2^(-'⚙ Parámetros'!C16*(L77-'⚙ Parámetros'!B16))),'⚙ Parámetros'!G16/(1+2^(-'⚙ Parámetros'!F16*(L77-'⚙ Parámetros'!E16))),1)+20/100*MAX('⚙ Parámetros'!D16/(1+2^(-'⚙ Parámetros'!C16*(M77-'⚙ Parámetros'!B16))),'⚙ Parámetros'!G16/(1+2^(-'⚙ Parámetros'!F16*(M77-'⚙ Parámetros'!E16))),1)),0)</f>
        <v>1.4000000000000001</v>
      </c>
      <c r="AD77" s="80">
        <f>IFERROR((30/100*MAX('⚙ Parámetros'!D17/(1+2^(-'⚙ Parámetros'!C17*(N77-'⚙ Parámetros'!B17))),'⚙ Parámetros'!G17/(1+2^(-'⚙ Parámetros'!F17*(N77-'⚙ Parámetros'!E17))),1)*N77+25/100*MAX('⚙ Parámetros'!D17/(1+2^(-'⚙ Parámetros'!C17*(O77-'⚙ Parámetros'!B17))),'⚙ Parámetros'!G17/(1+2^(-'⚙ Parámetros'!F17*(O77-'⚙ Parámetros'!E17))),1)*O77+25/100*MAX('⚙ Parámetros'!D17/(1+2^(-'⚙ Parámetros'!C17*(P77-'⚙ Parámetros'!B17))),'⚙ Parámetros'!G17/(1+2^(-'⚙ Parámetros'!F17*(P77-'⚙ Parámetros'!E17))),1)*P77+20/100*MAX('⚙ Parámetros'!D17/(1+2^(-'⚙ Parámetros'!C17*(Q77-'⚙ Parámetros'!B17))),'⚙ Parámetros'!G17/(1+2^(-'⚙ Parámetros'!F17*(Q77-'⚙ Parámetros'!E17))),1)*Q77)/(30/100*MAX('⚙ Parámetros'!D17/(1+2^(-'⚙ Parámetros'!C17*(N77-'⚙ Parámetros'!B17))),'⚙ Parámetros'!G17/(1+2^(-'⚙ Parámetros'!F17*(N77-'⚙ Parámetros'!E17))),1)+25/100*MAX('⚙ Parámetros'!D17/(1+2^(-'⚙ Parámetros'!C17*(O77-'⚙ Parámetros'!B17))),'⚙ Parámetros'!G17/(1+2^(-'⚙ Parámetros'!F17*(O77-'⚙ Parámetros'!E17))),1)+25/100*MAX('⚙ Parámetros'!D17/(1+2^(-'⚙ Parámetros'!C17*(P77-'⚙ Parámetros'!B17))),'⚙ Parámetros'!G17/(1+2^(-'⚙ Parámetros'!F17*(P77-'⚙ Parámetros'!E17))),1)+20/100*MAX('⚙ Parámetros'!D17/(1+2^(-'⚙ Parámetros'!C17*(Q77-'⚙ Parámetros'!B17))),'⚙ Parámetros'!G17/(1+2^(-'⚙ Parámetros'!F17*(Q77-'⚙ Parámetros'!E17))),1)),0)</f>
        <v>5.5913043478260871</v>
      </c>
      <c r="AE77" s="80">
        <f>IFERROR((30/100*MAX('⚙ Parámetros'!D18/(1+2^(-'⚙ Parámetros'!C18*(R77-'⚙ Parámetros'!B18))),'⚙ Parámetros'!G18/(1+2^(-'⚙ Parámetros'!F18*(R77-'⚙ Parámetros'!E18))),1)*R77+30/100*MAX('⚙ Parámetros'!D18/(1+2^(-'⚙ Parámetros'!C18*(S77-'⚙ Parámetros'!B18))),'⚙ Parámetros'!G18/(1+2^(-'⚙ Parámetros'!F18*(S77-'⚙ Parámetros'!E18))),1)*S77+20/100*MAX('⚙ Parámetros'!D18/(1+2^(-'⚙ Parámetros'!C18*(T77-'⚙ Parámetros'!B18))),'⚙ Parámetros'!G18/(1+2^(-'⚙ Parámetros'!F18*(T77-'⚙ Parámetros'!E18))),1)*T77+20/100*MAX('⚙ Parámetros'!D18/(1+2^(-'⚙ Parámetros'!C18*(U77-'⚙ Parámetros'!B18))),'⚙ Parámetros'!G18/(1+2^(-'⚙ Parámetros'!F18*(U77-'⚙ Parámetros'!E18))),1)*U77)/(30/100*MAX('⚙ Parámetros'!D18/(1+2^(-'⚙ Parámetros'!C18*(R77-'⚙ Parámetros'!B18))),'⚙ Parámetros'!G18/(1+2^(-'⚙ Parámetros'!F18*(R77-'⚙ Parámetros'!E18))),1)+30/100*MAX('⚙ Parámetros'!D18/(1+2^(-'⚙ Parámetros'!C18*(S77-'⚙ Parámetros'!B18))),'⚙ Parámetros'!G18/(1+2^(-'⚙ Parámetros'!F18*(S77-'⚙ Parámetros'!E18))),1)+20/100*MAX('⚙ Parámetros'!D18/(1+2^(-'⚙ Parámetros'!C18*(T77-'⚙ Parámetros'!B18))),'⚙ Parámetros'!G18/(1+2^(-'⚙ Parámetros'!F18*(T77-'⚙ Parámetros'!E18))),1)+20/100*MAX('⚙ Parámetros'!D18/(1+2^(-'⚙ Parámetros'!C18*(U77-'⚙ Parámetros'!B18))),'⚙ Parámetros'!G18/(1+2^(-'⚙ Parámetros'!F18*(U77-'⚙ Parámetros'!E18))),1)),0)</f>
        <v>5</v>
      </c>
      <c r="AF77" s="80">
        <f>IFERROR((30/100*MAX('⚙ Parámetros'!D19/(1+2^(-'⚙ Parámetros'!C19*(V77-'⚙ Parámetros'!B19))),'⚙ Parámetros'!G19/(1+2^(-'⚙ Parámetros'!F19*(V77-'⚙ Parámetros'!E19))),1)*V77+35/100*MAX('⚙ Parámetros'!D19/(1+2^(-'⚙ Parámetros'!C19*(W77-'⚙ Parámetros'!B19))),'⚙ Parámetros'!G19/(1+2^(-'⚙ Parámetros'!F19*(W77-'⚙ Parámetros'!E19))),1)*W77+35/100*MAX('⚙ Parámetros'!D19/(1+2^(-'⚙ Parámetros'!C19*(X77-'⚙ Parámetros'!B19))),'⚙ Parámetros'!G19/(1+2^(-'⚙ Parámetros'!F19*(X77-'⚙ Parámetros'!E19))),1)*X77)/(30/100*MAX('⚙ Parámetros'!D19/(1+2^(-'⚙ Parámetros'!C19*(V77-'⚙ Parámetros'!B19))),'⚙ Parámetros'!G19/(1+2^(-'⚙ Parámetros'!F19*(V77-'⚙ Parámetros'!E19))),1)+35/100*MAX('⚙ Parámetros'!D19/(1+2^(-'⚙ Parámetros'!C19*(W77-'⚙ Parámetros'!B19))),'⚙ Parámetros'!G19/(1+2^(-'⚙ Parámetros'!F19*(W77-'⚙ Parámetros'!E19))),1)+35/100*MAX('⚙ Parámetros'!D19/(1+2^(-'⚙ Parámetros'!C19*(X77-'⚙ Parámetros'!B19))),'⚙ Parámetros'!G19/(1+2^(-'⚙ Parámetros'!F19*(X77-'⚙ Parámetros'!E19))),1)),0)</f>
        <v>8.0351483057098907</v>
      </c>
      <c r="AG77" s="80">
        <f>IFERROR((35/100*MAX('⚙ Parámetros'!D20/(1+2^(-'⚙ Parámetros'!C20*(Y77-'⚙ Parámetros'!B20))),'⚙ Parámetros'!G20/(1+2^(-'⚙ Parámetros'!F20*(Y77-'⚙ Parámetros'!E20))),1)*Y77+35/100*MAX('⚙ Parámetros'!D20/(1+2^(-'⚙ Parámetros'!C20*(Z77-'⚙ Parámetros'!B20))),'⚙ Parámetros'!G20/(1+2^(-'⚙ Parámetros'!F20*(Z77-'⚙ Parámetros'!E20))),1)*Z77+30/100*MAX('⚙ Parámetros'!D20/(1+2^(-'⚙ Parámetros'!C20*(AA77-'⚙ Parámetros'!B20))),'⚙ Parámetros'!G20/(1+2^(-'⚙ Parámetros'!F20*(AA77-'⚙ Parámetros'!E20))),1)*AA77)/(35/100*MAX('⚙ Parámetros'!D20/(1+2^(-'⚙ Parámetros'!C20*(Y77-'⚙ Parámetros'!B20))),'⚙ Parámetros'!G20/(1+2^(-'⚙ Parámetros'!F20*(Y77-'⚙ Parámetros'!E20))),1)+35/100*MAX('⚙ Parámetros'!D20/(1+2^(-'⚙ Parámetros'!C20*(Z77-'⚙ Parámetros'!B20))),'⚙ Parámetros'!G20/(1+2^(-'⚙ Parámetros'!F20*(Z77-'⚙ Parámetros'!E20))),1)+30/100*MAX('⚙ Parámetros'!D20/(1+2^(-'⚙ Parámetros'!C20*(AA77-'⚙ Parámetros'!B20))),'⚙ Parámetros'!G20/(1+2^(-'⚙ Parámetros'!F20*(AA77-'⚙ Parámetros'!E20))),1)),0)</f>
        <v>3.7272727272727275</v>
      </c>
      <c r="AH77" s="81">
        <f>('⚙ Parámetros'!B5/100*AB77+'⚙ Parámetros'!B6/100*AC77+'⚙ Parámetros'!B7/100*AD77+'⚙ Parámetros'!B8/100*AE77+'⚙ Parámetros'!B9/100*AF77+'⚙ Parámetros'!B10/100*AG77)</f>
        <v>3.7428146611751676</v>
      </c>
      <c r="AI77" s="33">
        <f ca="1">MIN(1+MAX(0,TODAY()-DATE(2026,4,9))/365*'⚙ Parámetros'!B33,'⚙ Parámetros'!B34)</f>
        <v>1.0263013698630137</v>
      </c>
      <c r="AJ77" s="82">
        <f t="shared" ca="1" si="4"/>
        <v>3.8412558139074457</v>
      </c>
      <c r="AK77" s="83" t="str">
        <f ca="1">IF(AB77&gt;='⚙ Parámetros'!B23,"⚑ AUTO-PRIOR.(D1≥8)",IF(AJ77&gt;='⚙ Parámetros'!B23,"PRIORITARIO",IF(AJ77&gt;='⚙ Parámetros'!B24,"ALTA PRIORIDAD",IF(AJ77&gt;='⚙ Parámetros'!B25,"PRIORIDAD MEDIA",IF(AJ77&gt;='⚙ Parámetros'!B26,"BAJA PRIORIDAD","DESCARTAR")))))</f>
        <v>DESCARTAR</v>
      </c>
      <c r="AL77" s="84" t="str">
        <f t="shared" si="5"/>
        <v>—</v>
      </c>
      <c r="AM77" s="85">
        <v>37</v>
      </c>
      <c r="AN77" s="83" t="str">
        <f>IF(AM77="","—",IF(AM77&lt;'⚙ Parámetros'!B29,"🟢 Corto",IF(AM77&lt;'⚙ Parámetros'!B30,"🟡 Medio","🔴 Largo")))</f>
        <v>🟡 Medio</v>
      </c>
    </row>
    <row r="78" spans="1:40" ht="18.75" customHeight="1" x14ac:dyDescent="0.25">
      <c r="A78" s="69">
        <v>74</v>
      </c>
      <c r="B78" s="30" t="s">
        <v>285</v>
      </c>
      <c r="C78" s="26" t="s">
        <v>260</v>
      </c>
      <c r="D78" s="71" t="s">
        <v>192</v>
      </c>
      <c r="E78" s="72" t="s">
        <v>148</v>
      </c>
      <c r="F78" s="74">
        <v>1</v>
      </c>
      <c r="G78" s="74">
        <v>1</v>
      </c>
      <c r="H78" s="74">
        <v>1</v>
      </c>
      <c r="I78" s="74">
        <v>1</v>
      </c>
      <c r="J78" s="74">
        <v>1</v>
      </c>
      <c r="K78" s="74">
        <v>1</v>
      </c>
      <c r="L78" s="75">
        <v>8</v>
      </c>
      <c r="M78" s="86">
        <v>3</v>
      </c>
      <c r="N78" s="86">
        <v>7</v>
      </c>
      <c r="O78" s="74">
        <v>1</v>
      </c>
      <c r="P78" s="74">
        <v>1</v>
      </c>
      <c r="Q78" s="74">
        <v>1</v>
      </c>
      <c r="R78" s="86">
        <v>6</v>
      </c>
      <c r="S78" s="86">
        <v>6</v>
      </c>
      <c r="T78" s="86">
        <v>5</v>
      </c>
      <c r="U78" s="86">
        <v>5</v>
      </c>
      <c r="V78" s="77">
        <v>8</v>
      </c>
      <c r="W78" s="86">
        <v>4</v>
      </c>
      <c r="X78" s="86">
        <v>5</v>
      </c>
      <c r="Y78" s="86">
        <v>4</v>
      </c>
      <c r="Z78" s="74">
        <v>2</v>
      </c>
      <c r="AA78" s="86">
        <v>5</v>
      </c>
      <c r="AB78" s="89">
        <f>IFERROR((30/100*MAX('⚙ Parámetros'!D15/(1+2^(-'⚙ Parámetros'!C15*(F78-'⚙ Parámetros'!B15))),'⚙ Parámetros'!G15/(1+2^(-'⚙ Parámetros'!F15*(F78-'⚙ Parámetros'!E15))),1)*F78+30/100*MAX('⚙ Parámetros'!D15/(1+2^(-'⚙ Parámetros'!C15*(G78-'⚙ Parámetros'!B15))),'⚙ Parámetros'!G15/(1+2^(-'⚙ Parámetros'!F15*(G78-'⚙ Parámetros'!E15))),1)*G78+20/100*MAX('⚙ Parámetros'!D15/(1+2^(-'⚙ Parámetros'!C15*(H78-'⚙ Parámetros'!B15))),'⚙ Parámetros'!G15/(1+2^(-'⚙ Parámetros'!F15*(H78-'⚙ Parámetros'!E15))),1)*H78+20/100*MAX('⚙ Parámetros'!D15/(1+2^(-'⚙ Parámetros'!C15*(I78-'⚙ Parámetros'!B15))),'⚙ Parámetros'!G15/(1+2^(-'⚙ Parámetros'!F15*(I78-'⚙ Parámetros'!E15))),1)*I78)/(30/100*MAX('⚙ Parámetros'!D15/(1+2^(-'⚙ Parámetros'!C15*(F78-'⚙ Parámetros'!B15))),'⚙ Parámetros'!G15/(1+2^(-'⚙ Parámetros'!F15*(F78-'⚙ Parámetros'!E15))),1)+30/100*MAX('⚙ Parámetros'!D15/(1+2^(-'⚙ Parámetros'!C15*(G78-'⚙ Parámetros'!B15))),'⚙ Parámetros'!G15/(1+2^(-'⚙ Parámetros'!F15*(G78-'⚙ Parámetros'!E15))),1)+20/100*MAX('⚙ Parámetros'!D15/(1+2^(-'⚙ Parámetros'!C15*(H78-'⚙ Parámetros'!B15))),'⚙ Parámetros'!G15/(1+2^(-'⚙ Parámetros'!F15*(H78-'⚙ Parámetros'!E15))),1)+20/100*MAX('⚙ Parámetros'!D15/(1+2^(-'⚙ Parámetros'!C15*(I78-'⚙ Parámetros'!B15))),'⚙ Parámetros'!G15/(1+2^(-'⚙ Parámetros'!F15*(I78-'⚙ Parámetros'!E15))),1)),0)</f>
        <v>1</v>
      </c>
      <c r="AC78" s="89">
        <f>IFERROR((35/100*MAX('⚙ Parámetros'!D16/(1+2^(-'⚙ Parámetros'!C16*(J78-'⚙ Parámetros'!B16))),'⚙ Parámetros'!G16/(1+2^(-'⚙ Parámetros'!F16*(J78-'⚙ Parámetros'!E16))),1)*J78+25/100*MAX('⚙ Parámetros'!D16/(1+2^(-'⚙ Parámetros'!C16*(K78-'⚙ Parámetros'!B16))),'⚙ Parámetros'!G16/(1+2^(-'⚙ Parámetros'!F16*(K78-'⚙ Parámetros'!E16))),1)*K78+20/100*MAX('⚙ Parámetros'!D16/(1+2^(-'⚙ Parámetros'!C16*(L78-'⚙ Parámetros'!B16))),'⚙ Parámetros'!G16/(1+2^(-'⚙ Parámetros'!F16*(L78-'⚙ Parámetros'!E16))),1)*L78+20/100*MAX('⚙ Parámetros'!D16/(1+2^(-'⚙ Parámetros'!C16*(M78-'⚙ Parámetros'!B16))),'⚙ Parámetros'!G16/(1+2^(-'⚙ Parámetros'!F16*(M78-'⚙ Parámetros'!E16))),1)*M78)/(35/100*MAX('⚙ Parámetros'!D16/(1+2^(-'⚙ Parámetros'!C16*(J78-'⚙ Parámetros'!B16))),'⚙ Parámetros'!G16/(1+2^(-'⚙ Parámetros'!F16*(J78-'⚙ Parámetros'!E16))),1)+25/100*MAX('⚙ Parámetros'!D16/(1+2^(-'⚙ Parámetros'!C16*(K78-'⚙ Parámetros'!B16))),'⚙ Parámetros'!G16/(1+2^(-'⚙ Parámetros'!F16*(K78-'⚙ Parámetros'!E16))),1)+20/100*MAX('⚙ Parámetros'!D16/(1+2^(-'⚙ Parámetros'!C16*(L78-'⚙ Parámetros'!B16))),'⚙ Parámetros'!G16/(1+2^(-'⚙ Parámetros'!F16*(L78-'⚙ Parámetros'!E16))),1)+20/100*MAX('⚙ Parámetros'!D16/(1+2^(-'⚙ Parámetros'!C16*(M78-'⚙ Parámetros'!B16))),'⚙ Parámetros'!G16/(1+2^(-'⚙ Parámetros'!F16*(M78-'⚙ Parámetros'!E16))),1)),0)</f>
        <v>4.9411764705882355</v>
      </c>
      <c r="AD78" s="89">
        <f>IFERROR((30/100*MAX('⚙ Parámetros'!D17/(1+2^(-'⚙ Parámetros'!C17*(N78-'⚙ Parámetros'!B17))),'⚙ Parámetros'!G17/(1+2^(-'⚙ Parámetros'!F17*(N78-'⚙ Parámetros'!E17))),1)*N78+25/100*MAX('⚙ Parámetros'!D17/(1+2^(-'⚙ Parámetros'!C17*(O78-'⚙ Parámetros'!B17))),'⚙ Parámetros'!G17/(1+2^(-'⚙ Parámetros'!F17*(O78-'⚙ Parámetros'!E17))),1)*O78+25/100*MAX('⚙ Parámetros'!D17/(1+2^(-'⚙ Parámetros'!C17*(P78-'⚙ Parámetros'!B17))),'⚙ Parámetros'!G17/(1+2^(-'⚙ Parámetros'!F17*(P78-'⚙ Parámetros'!E17))),1)*P78+20/100*MAX('⚙ Parámetros'!D17/(1+2^(-'⚙ Parámetros'!C17*(Q78-'⚙ Parámetros'!B17))),'⚙ Parámetros'!G17/(1+2^(-'⚙ Parámetros'!F17*(Q78-'⚙ Parámetros'!E17))),1)*Q78)/(30/100*MAX('⚙ Parámetros'!D17/(1+2^(-'⚙ Parámetros'!C17*(N78-'⚙ Parámetros'!B17))),'⚙ Parámetros'!G17/(1+2^(-'⚙ Parámetros'!F17*(N78-'⚙ Parámetros'!E17))),1)+25/100*MAX('⚙ Parámetros'!D17/(1+2^(-'⚙ Parámetros'!C17*(O78-'⚙ Parámetros'!B17))),'⚙ Parámetros'!G17/(1+2^(-'⚙ Parámetros'!F17*(O78-'⚙ Parámetros'!E17))),1)+25/100*MAX('⚙ Parámetros'!D17/(1+2^(-'⚙ Parámetros'!C17*(P78-'⚙ Parámetros'!B17))),'⚙ Parámetros'!G17/(1+2^(-'⚙ Parámetros'!F17*(P78-'⚙ Parámetros'!E17))),1)+20/100*MAX('⚙ Parámetros'!D17/(1+2^(-'⚙ Parámetros'!C17*(Q78-'⚙ Parámetros'!B17))),'⚙ Parámetros'!G17/(1+2^(-'⚙ Parámetros'!F17*(Q78-'⚙ Parámetros'!E17))),1)),0)</f>
        <v>4.2</v>
      </c>
      <c r="AE78" s="89">
        <f>IFERROR((30/100*MAX('⚙ Parámetros'!D18/(1+2^(-'⚙ Parámetros'!C18*(R78-'⚙ Parámetros'!B18))),'⚙ Parámetros'!G18/(1+2^(-'⚙ Parámetros'!F18*(R78-'⚙ Parámetros'!E18))),1)*R78+30/100*MAX('⚙ Parámetros'!D18/(1+2^(-'⚙ Parámetros'!C18*(S78-'⚙ Parámetros'!B18))),'⚙ Parámetros'!G18/(1+2^(-'⚙ Parámetros'!F18*(S78-'⚙ Parámetros'!E18))),1)*S78+20/100*MAX('⚙ Parámetros'!D18/(1+2^(-'⚙ Parámetros'!C18*(T78-'⚙ Parámetros'!B18))),'⚙ Parámetros'!G18/(1+2^(-'⚙ Parámetros'!F18*(T78-'⚙ Parámetros'!E18))),1)*T78+20/100*MAX('⚙ Parámetros'!D18/(1+2^(-'⚙ Parámetros'!C18*(U78-'⚙ Parámetros'!B18))),'⚙ Parámetros'!G18/(1+2^(-'⚙ Parámetros'!F18*(U78-'⚙ Parámetros'!E18))),1)*U78)/(30/100*MAX('⚙ Parámetros'!D18/(1+2^(-'⚙ Parámetros'!C18*(R78-'⚙ Parámetros'!B18))),'⚙ Parámetros'!G18/(1+2^(-'⚙ Parámetros'!F18*(R78-'⚙ Parámetros'!E18))),1)+30/100*MAX('⚙ Parámetros'!D18/(1+2^(-'⚙ Parámetros'!C18*(S78-'⚙ Parámetros'!B18))),'⚙ Parámetros'!G18/(1+2^(-'⚙ Parámetros'!F18*(S78-'⚙ Parámetros'!E18))),1)+20/100*MAX('⚙ Parámetros'!D18/(1+2^(-'⚙ Parámetros'!C18*(T78-'⚙ Parámetros'!B18))),'⚙ Parámetros'!G18/(1+2^(-'⚙ Parámetros'!F18*(T78-'⚙ Parámetros'!E18))),1)+20/100*MAX('⚙ Parámetros'!D18/(1+2^(-'⚙ Parámetros'!C18*(U78-'⚙ Parámetros'!B18))),'⚙ Parámetros'!G18/(1+2^(-'⚙ Parámetros'!F18*(U78-'⚙ Parámetros'!E18))),1)),0)</f>
        <v>5.6428571428571441</v>
      </c>
      <c r="AF78" s="89">
        <f>IFERROR((30/100*MAX('⚙ Parámetros'!D19/(1+2^(-'⚙ Parámetros'!C19*(V78-'⚙ Parámetros'!B19))),'⚙ Parámetros'!G19/(1+2^(-'⚙ Parámetros'!F19*(V78-'⚙ Parámetros'!E19))),1)*V78+35/100*MAX('⚙ Parámetros'!D19/(1+2^(-'⚙ Parámetros'!C19*(W78-'⚙ Parámetros'!B19))),'⚙ Parámetros'!G19/(1+2^(-'⚙ Parámetros'!F19*(W78-'⚙ Parámetros'!E19))),1)*W78+35/100*MAX('⚙ Parámetros'!D19/(1+2^(-'⚙ Parámetros'!C19*(X78-'⚙ Parámetros'!B19))),'⚙ Parámetros'!G19/(1+2^(-'⚙ Parámetros'!F19*(X78-'⚙ Parámetros'!E19))),1)*X78)/(30/100*MAX('⚙ Parámetros'!D19/(1+2^(-'⚙ Parámetros'!C19*(V78-'⚙ Parámetros'!B19))),'⚙ Parámetros'!G19/(1+2^(-'⚙ Parámetros'!F19*(V78-'⚙ Parámetros'!E19))),1)+35/100*MAX('⚙ Parámetros'!D19/(1+2^(-'⚙ Parámetros'!C19*(W78-'⚙ Parámetros'!B19))),'⚙ Parámetros'!G19/(1+2^(-'⚙ Parámetros'!F19*(W78-'⚙ Parámetros'!E19))),1)+35/100*MAX('⚙ Parámetros'!D19/(1+2^(-'⚙ Parámetros'!C19*(X78-'⚙ Parámetros'!B19))),'⚙ Parámetros'!G19/(1+2^(-'⚙ Parámetros'!F19*(X78-'⚙ Parámetros'!E19))),1)),0)</f>
        <v>6.1538461538461542</v>
      </c>
      <c r="AG78" s="89">
        <f>IFERROR((35/100*MAX('⚙ Parámetros'!D20/(1+2^(-'⚙ Parámetros'!C20*(Y78-'⚙ Parámetros'!B20))),'⚙ Parámetros'!G20/(1+2^(-'⚙ Parámetros'!F20*(Y78-'⚙ Parámetros'!E20))),1)*Y78+35/100*MAX('⚙ Parámetros'!D20/(1+2^(-'⚙ Parámetros'!C20*(Z78-'⚙ Parámetros'!B20))),'⚙ Parámetros'!G20/(1+2^(-'⚙ Parámetros'!F20*(Z78-'⚙ Parámetros'!E20))),1)*Z78+30/100*MAX('⚙ Parámetros'!D20/(1+2^(-'⚙ Parámetros'!C20*(AA78-'⚙ Parámetros'!B20))),'⚙ Parámetros'!G20/(1+2^(-'⚙ Parámetros'!F20*(AA78-'⚙ Parámetros'!E20))),1)*AA78)/(35/100*MAX('⚙ Parámetros'!D20/(1+2^(-'⚙ Parámetros'!C20*(Y78-'⚙ Parámetros'!B20))),'⚙ Parámetros'!G20/(1+2^(-'⚙ Parámetros'!F20*(Y78-'⚙ Parámetros'!E20))),1)+35/100*MAX('⚙ Parámetros'!D20/(1+2^(-'⚙ Parámetros'!C20*(Z78-'⚙ Parámetros'!B20))),'⚙ Parámetros'!G20/(1+2^(-'⚙ Parámetros'!F20*(Z78-'⚙ Parámetros'!E20))),1)+30/100*MAX('⚙ Parámetros'!D20/(1+2^(-'⚙ Parámetros'!C20*(AA78-'⚙ Parámetros'!B20))),'⚙ Parámetros'!G20/(1+2^(-'⚙ Parámetros'!F20*(AA78-'⚙ Parámetros'!E20))),1)),0)</f>
        <v>3.7272727272727275</v>
      </c>
      <c r="AH78" s="90">
        <f>('⚙ Parámetros'!B5/100*AB78+'⚙ Parámetros'!B6/100*AC78+'⚙ Parámetros'!B7/100*AD78+'⚙ Parámetros'!B8/100*AE78+'⚙ Parámetros'!B9/100*AF78+'⚙ Parámetros'!B10/100*AG78)</f>
        <v>3.7189445848269385</v>
      </c>
      <c r="AI78" s="91">
        <f ca="1">MIN(1+MAX(0,TODAY()-DATE(2026,3,24))/365*'⚙ Parámetros'!B33,'⚙ Parámetros'!B34)</f>
        <v>1.0328767123287672</v>
      </c>
      <c r="AJ78" s="82">
        <f t="shared" ca="1" si="4"/>
        <v>3.8412112561089202</v>
      </c>
      <c r="AK78" s="92" t="str">
        <f ca="1">IF(AB78&gt;='⚙ Parámetros'!B23,"⚑ AUTO-PRIOR.(D1≥8)",IF(AJ78&gt;='⚙ Parámetros'!B23,"PRIORITARIO",IF(AJ78&gt;='⚙ Parámetros'!B24,"ALTA PRIORIDAD",IF(AJ78&gt;='⚙ Parámetros'!B25,"PRIORIDAD MEDIA",IF(AJ78&gt;='⚙ Parámetros'!B26,"BAJA PRIORIDAD","DESCARTAR")))))</f>
        <v>DESCARTAR</v>
      </c>
      <c r="AL78" s="69" t="str">
        <f t="shared" si="5"/>
        <v>—</v>
      </c>
      <c r="AM78" s="85">
        <v>40</v>
      </c>
      <c r="AN78" s="83" t="str">
        <f>IF(AM78="","—",IF(AM78&lt;'⚙ Parámetros'!B29,"🟢 Corto",IF(AM78&lt;'⚙ Parámetros'!B30,"🟡 Medio","🔴 Largo")))</f>
        <v>🟡 Medio</v>
      </c>
    </row>
    <row r="79" spans="1:40" ht="18.75" customHeight="1" x14ac:dyDescent="0.25">
      <c r="A79" s="69">
        <v>75</v>
      </c>
      <c r="B79" s="70" t="s">
        <v>286</v>
      </c>
      <c r="C79" s="4" t="s">
        <v>271</v>
      </c>
      <c r="D79" s="71" t="s">
        <v>136</v>
      </c>
      <c r="E79" s="72" t="s">
        <v>287</v>
      </c>
      <c r="F79" s="74">
        <v>1</v>
      </c>
      <c r="G79" s="74">
        <v>1</v>
      </c>
      <c r="H79" s="74">
        <v>1</v>
      </c>
      <c r="I79" s="74">
        <v>1</v>
      </c>
      <c r="J79" s="74">
        <v>1</v>
      </c>
      <c r="K79" s="74">
        <v>1</v>
      </c>
      <c r="L79" s="74">
        <v>1</v>
      </c>
      <c r="M79" s="73">
        <v>3</v>
      </c>
      <c r="N79" s="74">
        <v>1</v>
      </c>
      <c r="O79" s="87">
        <v>8</v>
      </c>
      <c r="P79" s="74">
        <v>1</v>
      </c>
      <c r="Q79" s="74">
        <v>1</v>
      </c>
      <c r="R79" s="76">
        <v>9</v>
      </c>
      <c r="S79" s="76">
        <v>9</v>
      </c>
      <c r="T79" s="73">
        <v>5</v>
      </c>
      <c r="U79" s="73">
        <v>5</v>
      </c>
      <c r="V79" s="77">
        <v>8</v>
      </c>
      <c r="W79" s="73">
        <v>6</v>
      </c>
      <c r="X79" s="77">
        <v>9</v>
      </c>
      <c r="Y79" s="73">
        <v>4</v>
      </c>
      <c r="Z79" s="74">
        <v>2</v>
      </c>
      <c r="AA79" s="73">
        <v>5</v>
      </c>
      <c r="AB79" s="80">
        <f>IFERROR((30/100*MAX('⚙ Parámetros'!D15/(1+2^(-'⚙ Parámetros'!C15*(F79-'⚙ Parámetros'!B15))),'⚙ Parámetros'!G15/(1+2^(-'⚙ Parámetros'!F15*(F79-'⚙ Parámetros'!E15))),1)*F79+30/100*MAX('⚙ Parámetros'!D15/(1+2^(-'⚙ Parámetros'!C15*(G79-'⚙ Parámetros'!B15))),'⚙ Parámetros'!G15/(1+2^(-'⚙ Parámetros'!F15*(G79-'⚙ Parámetros'!E15))),1)*G79+20/100*MAX('⚙ Parámetros'!D15/(1+2^(-'⚙ Parámetros'!C15*(H79-'⚙ Parámetros'!B15))),'⚙ Parámetros'!G15/(1+2^(-'⚙ Parámetros'!F15*(H79-'⚙ Parámetros'!E15))),1)*H79+20/100*MAX('⚙ Parámetros'!D15/(1+2^(-'⚙ Parámetros'!C15*(I79-'⚙ Parámetros'!B15))),'⚙ Parámetros'!G15/(1+2^(-'⚙ Parámetros'!F15*(I79-'⚙ Parámetros'!E15))),1)*I79)/(30/100*MAX('⚙ Parámetros'!D15/(1+2^(-'⚙ Parámetros'!C15*(F79-'⚙ Parámetros'!B15))),'⚙ Parámetros'!G15/(1+2^(-'⚙ Parámetros'!F15*(F79-'⚙ Parámetros'!E15))),1)+30/100*MAX('⚙ Parámetros'!D15/(1+2^(-'⚙ Parámetros'!C15*(G79-'⚙ Parámetros'!B15))),'⚙ Parámetros'!G15/(1+2^(-'⚙ Parámetros'!F15*(G79-'⚙ Parámetros'!E15))),1)+20/100*MAX('⚙ Parámetros'!D15/(1+2^(-'⚙ Parámetros'!C15*(H79-'⚙ Parámetros'!B15))),'⚙ Parámetros'!G15/(1+2^(-'⚙ Parámetros'!F15*(H79-'⚙ Parámetros'!E15))),1)+20/100*MAX('⚙ Parámetros'!D15/(1+2^(-'⚙ Parámetros'!C15*(I79-'⚙ Parámetros'!B15))),'⚙ Parámetros'!G15/(1+2^(-'⚙ Parámetros'!F15*(I79-'⚙ Parámetros'!E15))),1)),0)</f>
        <v>1</v>
      </c>
      <c r="AC79" s="80">
        <f>IFERROR((35/100*MAX('⚙ Parámetros'!D16/(1+2^(-'⚙ Parámetros'!C16*(J79-'⚙ Parámetros'!B16))),'⚙ Parámetros'!G16/(1+2^(-'⚙ Parámetros'!F16*(J79-'⚙ Parámetros'!E16))),1)*J79+25/100*MAX('⚙ Parámetros'!D16/(1+2^(-'⚙ Parámetros'!C16*(K79-'⚙ Parámetros'!B16))),'⚙ Parámetros'!G16/(1+2^(-'⚙ Parámetros'!F16*(K79-'⚙ Parámetros'!E16))),1)*K79+20/100*MAX('⚙ Parámetros'!D16/(1+2^(-'⚙ Parámetros'!C16*(L79-'⚙ Parámetros'!B16))),'⚙ Parámetros'!G16/(1+2^(-'⚙ Parámetros'!F16*(L79-'⚙ Parámetros'!E16))),1)*L79+20/100*MAX('⚙ Parámetros'!D16/(1+2^(-'⚙ Parámetros'!C16*(M79-'⚙ Parámetros'!B16))),'⚙ Parámetros'!G16/(1+2^(-'⚙ Parámetros'!F16*(M79-'⚙ Parámetros'!E16))),1)*M79)/(35/100*MAX('⚙ Parámetros'!D16/(1+2^(-'⚙ Parámetros'!C16*(J79-'⚙ Parámetros'!B16))),'⚙ Parámetros'!G16/(1+2^(-'⚙ Parámetros'!F16*(J79-'⚙ Parámetros'!E16))),1)+25/100*MAX('⚙ Parámetros'!D16/(1+2^(-'⚙ Parámetros'!C16*(K79-'⚙ Parámetros'!B16))),'⚙ Parámetros'!G16/(1+2^(-'⚙ Parámetros'!F16*(K79-'⚙ Parámetros'!E16))),1)+20/100*MAX('⚙ Parámetros'!D16/(1+2^(-'⚙ Parámetros'!C16*(L79-'⚙ Parámetros'!B16))),'⚙ Parámetros'!G16/(1+2^(-'⚙ Parámetros'!F16*(L79-'⚙ Parámetros'!E16))),1)+20/100*MAX('⚙ Parámetros'!D16/(1+2^(-'⚙ Parámetros'!C16*(M79-'⚙ Parámetros'!B16))),'⚙ Parámetros'!G16/(1+2^(-'⚙ Parámetros'!F16*(M79-'⚙ Parámetros'!E16))),1)),0)</f>
        <v>1.4000000000000001</v>
      </c>
      <c r="AD79" s="80">
        <f>IFERROR((30/100*MAX('⚙ Parámetros'!D17/(1+2^(-'⚙ Parámetros'!C17*(N79-'⚙ Parámetros'!B17))),'⚙ Parámetros'!G17/(1+2^(-'⚙ Parámetros'!F17*(N79-'⚙ Parámetros'!E17))),1)*N79+25/100*MAX('⚙ Parámetros'!D17/(1+2^(-'⚙ Parámetros'!C17*(O79-'⚙ Parámetros'!B17))),'⚙ Parámetros'!G17/(1+2^(-'⚙ Parámetros'!F17*(O79-'⚙ Parámetros'!E17))),1)*O79+25/100*MAX('⚙ Parámetros'!D17/(1+2^(-'⚙ Parámetros'!C17*(P79-'⚙ Parámetros'!B17))),'⚙ Parámetros'!G17/(1+2^(-'⚙ Parámetros'!F17*(P79-'⚙ Parámetros'!E17))),1)*P79+20/100*MAX('⚙ Parámetros'!D17/(1+2^(-'⚙ Parámetros'!C17*(Q79-'⚙ Parámetros'!B17))),'⚙ Parámetros'!G17/(1+2^(-'⚙ Parámetros'!F17*(Q79-'⚙ Parámetros'!E17))),1)*Q79)/(30/100*MAX('⚙ Parámetros'!D17/(1+2^(-'⚙ Parámetros'!C17*(N79-'⚙ Parámetros'!B17))),'⚙ Parámetros'!G17/(1+2^(-'⚙ Parámetros'!F17*(N79-'⚙ Parámetros'!E17))),1)+25/100*MAX('⚙ Parámetros'!D17/(1+2^(-'⚙ Parámetros'!C17*(O79-'⚙ Parámetros'!B17))),'⚙ Parámetros'!G17/(1+2^(-'⚙ Parámetros'!F17*(O79-'⚙ Parámetros'!E17))),1)+25/100*MAX('⚙ Parámetros'!D17/(1+2^(-'⚙ Parámetros'!C17*(P79-'⚙ Parámetros'!B17))),'⚙ Parámetros'!G17/(1+2^(-'⚙ Parámetros'!F17*(P79-'⚙ Parámetros'!E17))),1)+20/100*MAX('⚙ Parámetros'!D17/(1+2^(-'⚙ Parámetros'!C17*(Q79-'⚙ Parámetros'!B17))),'⚙ Parámetros'!G17/(1+2^(-'⚙ Parámetros'!F17*(Q79-'⚙ Parámetros'!E17))),1)),0)</f>
        <v>5</v>
      </c>
      <c r="AE79" s="80">
        <f>IFERROR((30/100*MAX('⚙ Parámetros'!D18/(1+2^(-'⚙ Parámetros'!C18*(R79-'⚙ Parámetros'!B18))),'⚙ Parámetros'!G18/(1+2^(-'⚙ Parámetros'!F18*(R79-'⚙ Parámetros'!E18))),1)*R79+30/100*MAX('⚙ Parámetros'!D18/(1+2^(-'⚙ Parámetros'!C18*(S79-'⚙ Parámetros'!B18))),'⚙ Parámetros'!G18/(1+2^(-'⚙ Parámetros'!F18*(S79-'⚙ Parámetros'!E18))),1)*S79+20/100*MAX('⚙ Parámetros'!D18/(1+2^(-'⚙ Parámetros'!C18*(T79-'⚙ Parámetros'!B18))),'⚙ Parámetros'!G18/(1+2^(-'⚙ Parámetros'!F18*(T79-'⚙ Parámetros'!E18))),1)*T79+20/100*MAX('⚙ Parámetros'!D18/(1+2^(-'⚙ Parámetros'!C18*(U79-'⚙ Parámetros'!B18))),'⚙ Parámetros'!G18/(1+2^(-'⚙ Parámetros'!F18*(U79-'⚙ Parámetros'!E18))),1)*U79)/(30/100*MAX('⚙ Parámetros'!D18/(1+2^(-'⚙ Parámetros'!C18*(R79-'⚙ Parámetros'!B18))),'⚙ Parámetros'!G18/(1+2^(-'⚙ Parámetros'!F18*(R79-'⚙ Parámetros'!E18))),1)+30/100*MAX('⚙ Parámetros'!D18/(1+2^(-'⚙ Parámetros'!C18*(S79-'⚙ Parámetros'!B18))),'⚙ Parámetros'!G18/(1+2^(-'⚙ Parámetros'!F18*(S79-'⚙ Parámetros'!E18))),1)+20/100*MAX('⚙ Parámetros'!D18/(1+2^(-'⚙ Parámetros'!C18*(T79-'⚙ Parámetros'!B18))),'⚙ Parámetros'!G18/(1+2^(-'⚙ Parámetros'!F18*(T79-'⚙ Parámetros'!E18))),1)+20/100*MAX('⚙ Parámetros'!D18/(1+2^(-'⚙ Parámetros'!C18*(U79-'⚙ Parámetros'!B18))),'⚙ Parámetros'!G18/(1+2^(-'⚙ Parámetros'!F18*(U79-'⚙ Parámetros'!E18))),1)),0)</f>
        <v>8.1801060365339655</v>
      </c>
      <c r="AF79" s="80">
        <f>IFERROR((30/100*MAX('⚙ Parámetros'!D19/(1+2^(-'⚙ Parámetros'!C19*(V79-'⚙ Parámetros'!B19))),'⚙ Parámetros'!G19/(1+2^(-'⚙ Parámetros'!F19*(V79-'⚙ Parámetros'!E19))),1)*V79+35/100*MAX('⚙ Parámetros'!D19/(1+2^(-'⚙ Parámetros'!C19*(W79-'⚙ Parámetros'!B19))),'⚙ Parámetros'!G19/(1+2^(-'⚙ Parámetros'!F19*(W79-'⚙ Parámetros'!E19))),1)*W79+35/100*MAX('⚙ Parámetros'!D19/(1+2^(-'⚙ Parámetros'!C19*(X79-'⚙ Parámetros'!B19))),'⚙ Parámetros'!G19/(1+2^(-'⚙ Parámetros'!F19*(X79-'⚙ Parámetros'!E19))),1)*X79)/(30/100*MAX('⚙ Parámetros'!D19/(1+2^(-'⚙ Parámetros'!C19*(V79-'⚙ Parámetros'!B19))),'⚙ Parámetros'!G19/(1+2^(-'⚙ Parámetros'!F19*(V79-'⚙ Parámetros'!E19))),1)+35/100*MAX('⚙ Parámetros'!D19/(1+2^(-'⚙ Parámetros'!C19*(W79-'⚙ Parámetros'!B19))),'⚙ Parámetros'!G19/(1+2^(-'⚙ Parámetros'!F19*(W79-'⚙ Parámetros'!E19))),1)+35/100*MAX('⚙ Parámetros'!D19/(1+2^(-'⚙ Parámetros'!C19*(X79-'⚙ Parámetros'!B19))),'⚙ Parámetros'!G19/(1+2^(-'⚙ Parámetros'!F19*(X79-'⚙ Parámetros'!E19))),1)),0)</f>
        <v>8.0351483057098907</v>
      </c>
      <c r="AG79" s="80">
        <f>IFERROR((35/100*MAX('⚙ Parámetros'!D20/(1+2^(-'⚙ Parámetros'!C20*(Y79-'⚙ Parámetros'!B20))),'⚙ Parámetros'!G20/(1+2^(-'⚙ Parámetros'!F20*(Y79-'⚙ Parámetros'!E20))),1)*Y79+35/100*MAX('⚙ Parámetros'!D20/(1+2^(-'⚙ Parámetros'!C20*(Z79-'⚙ Parámetros'!B20))),'⚙ Parámetros'!G20/(1+2^(-'⚙ Parámetros'!F20*(Z79-'⚙ Parámetros'!E20))),1)*Z79+30/100*MAX('⚙ Parámetros'!D20/(1+2^(-'⚙ Parámetros'!C20*(AA79-'⚙ Parámetros'!B20))),'⚙ Parámetros'!G20/(1+2^(-'⚙ Parámetros'!F20*(AA79-'⚙ Parámetros'!E20))),1)*AA79)/(35/100*MAX('⚙ Parámetros'!D20/(1+2^(-'⚙ Parámetros'!C20*(Y79-'⚙ Parámetros'!B20))),'⚙ Parámetros'!G20/(1+2^(-'⚙ Parámetros'!F20*(Y79-'⚙ Parámetros'!E20))),1)+35/100*MAX('⚙ Parámetros'!D20/(1+2^(-'⚙ Parámetros'!C20*(Z79-'⚙ Parámetros'!B20))),'⚙ Parámetros'!G20/(1+2^(-'⚙ Parámetros'!F20*(Z79-'⚙ Parámetros'!E20))),1)+30/100*MAX('⚙ Parámetros'!D20/(1+2^(-'⚙ Parámetros'!C20*(AA79-'⚙ Parámetros'!B20))),'⚙ Parámetros'!G20/(1+2^(-'⚙ Parámetros'!F20*(AA79-'⚙ Parámetros'!E20))),1)),0)</f>
        <v>3.7272727272727275</v>
      </c>
      <c r="AH79" s="81">
        <f>('⚙ Parámetros'!B5/100*AB79+'⚙ Parámetros'!B6/100*AC79+'⚙ Parámetros'!B7/100*AD79+'⚙ Parámetros'!B8/100*AE79+'⚙ Parámetros'!B9/100*AF79+'⚙ Parámetros'!B10/100*AG79)</f>
        <v>3.6633093731368835</v>
      </c>
      <c r="AI79" s="33">
        <f ca="1">MIN(1+MAX(0,TODAY()-DATE(2025,8,6))/365*'⚙ Parámetros'!B33,'⚙ Parámetros'!B34)</f>
        <v>1.1273972602739726</v>
      </c>
      <c r="AJ79" s="82">
        <f t="shared" ca="1" si="4"/>
        <v>4.1300049508104868</v>
      </c>
      <c r="AK79" s="83" t="str">
        <f ca="1">IF(AB79&gt;='⚙ Parámetros'!B23,"⚑ AUTO-PRIOR.(D1≥8)",IF(AJ79&gt;='⚙ Parámetros'!B23,"PRIORITARIO",IF(AJ79&gt;='⚙ Parámetros'!B24,"ALTA PRIORIDAD",IF(AJ79&gt;='⚙ Parámetros'!B25,"PRIORIDAD MEDIA",IF(AJ79&gt;='⚙ Parámetros'!B26,"BAJA PRIORIDAD","DESCARTAR")))))</f>
        <v>BAJA PRIORIDAD</v>
      </c>
      <c r="AL79" s="84" t="str">
        <f t="shared" si="5"/>
        <v>—</v>
      </c>
      <c r="AM79" s="85">
        <v>20</v>
      </c>
      <c r="AN79" s="83" t="str">
        <f>IF(AM79="","—",IF(AM79&lt;'⚙ Parámetros'!B29,"🟢 Corto",IF(AM79&lt;'⚙ Parámetros'!B30,"🟡 Medio","🔴 Largo")))</f>
        <v>🟢 Corto</v>
      </c>
    </row>
    <row r="80" spans="1:40" ht="18.75" customHeight="1" x14ac:dyDescent="0.25">
      <c r="A80" s="69">
        <v>76</v>
      </c>
      <c r="B80" s="30" t="s">
        <v>288</v>
      </c>
      <c r="C80" s="26" t="s">
        <v>231</v>
      </c>
      <c r="D80" s="71" t="s">
        <v>136</v>
      </c>
      <c r="E80" s="72" t="s">
        <v>289</v>
      </c>
      <c r="F80" s="74">
        <v>1</v>
      </c>
      <c r="G80" s="74">
        <v>1</v>
      </c>
      <c r="H80" s="74">
        <v>1</v>
      </c>
      <c r="I80" s="74">
        <v>1</v>
      </c>
      <c r="J80" s="74">
        <v>1</v>
      </c>
      <c r="K80" s="74">
        <v>1</v>
      </c>
      <c r="L80" s="74">
        <v>1</v>
      </c>
      <c r="M80" s="86">
        <v>3</v>
      </c>
      <c r="N80" s="74">
        <v>1</v>
      </c>
      <c r="O80" s="87">
        <v>8</v>
      </c>
      <c r="P80" s="74">
        <v>1</v>
      </c>
      <c r="Q80" s="74">
        <v>1</v>
      </c>
      <c r="R80" s="76">
        <v>9</v>
      </c>
      <c r="S80" s="76">
        <v>9</v>
      </c>
      <c r="T80" s="86">
        <v>5</v>
      </c>
      <c r="U80" s="86">
        <v>5</v>
      </c>
      <c r="V80" s="77">
        <v>8</v>
      </c>
      <c r="W80" s="86">
        <v>6</v>
      </c>
      <c r="X80" s="77">
        <v>9</v>
      </c>
      <c r="Y80" s="86">
        <v>4</v>
      </c>
      <c r="Z80" s="74">
        <v>2</v>
      </c>
      <c r="AA80" s="86">
        <v>5</v>
      </c>
      <c r="AB80" s="89">
        <f>IFERROR((30/100*MAX('⚙ Parámetros'!D15/(1+2^(-'⚙ Parámetros'!C15*(F80-'⚙ Parámetros'!B15))),'⚙ Parámetros'!G15/(1+2^(-'⚙ Parámetros'!F15*(F80-'⚙ Parámetros'!E15))),1)*F80+30/100*MAX('⚙ Parámetros'!D15/(1+2^(-'⚙ Parámetros'!C15*(G80-'⚙ Parámetros'!B15))),'⚙ Parámetros'!G15/(1+2^(-'⚙ Parámetros'!F15*(G80-'⚙ Parámetros'!E15))),1)*G80+20/100*MAX('⚙ Parámetros'!D15/(1+2^(-'⚙ Parámetros'!C15*(H80-'⚙ Parámetros'!B15))),'⚙ Parámetros'!G15/(1+2^(-'⚙ Parámetros'!F15*(H80-'⚙ Parámetros'!E15))),1)*H80+20/100*MAX('⚙ Parámetros'!D15/(1+2^(-'⚙ Parámetros'!C15*(I80-'⚙ Parámetros'!B15))),'⚙ Parámetros'!G15/(1+2^(-'⚙ Parámetros'!F15*(I80-'⚙ Parámetros'!E15))),1)*I80)/(30/100*MAX('⚙ Parámetros'!D15/(1+2^(-'⚙ Parámetros'!C15*(F80-'⚙ Parámetros'!B15))),'⚙ Parámetros'!G15/(1+2^(-'⚙ Parámetros'!F15*(F80-'⚙ Parámetros'!E15))),1)+30/100*MAX('⚙ Parámetros'!D15/(1+2^(-'⚙ Parámetros'!C15*(G80-'⚙ Parámetros'!B15))),'⚙ Parámetros'!G15/(1+2^(-'⚙ Parámetros'!F15*(G80-'⚙ Parámetros'!E15))),1)+20/100*MAX('⚙ Parámetros'!D15/(1+2^(-'⚙ Parámetros'!C15*(H80-'⚙ Parámetros'!B15))),'⚙ Parámetros'!G15/(1+2^(-'⚙ Parámetros'!F15*(H80-'⚙ Parámetros'!E15))),1)+20/100*MAX('⚙ Parámetros'!D15/(1+2^(-'⚙ Parámetros'!C15*(I80-'⚙ Parámetros'!B15))),'⚙ Parámetros'!G15/(1+2^(-'⚙ Parámetros'!F15*(I80-'⚙ Parámetros'!E15))),1)),0)</f>
        <v>1</v>
      </c>
      <c r="AC80" s="89">
        <f>IFERROR((35/100*MAX('⚙ Parámetros'!D16/(1+2^(-'⚙ Parámetros'!C16*(J80-'⚙ Parámetros'!B16))),'⚙ Parámetros'!G16/(1+2^(-'⚙ Parámetros'!F16*(J80-'⚙ Parámetros'!E16))),1)*J80+25/100*MAX('⚙ Parámetros'!D16/(1+2^(-'⚙ Parámetros'!C16*(K80-'⚙ Parámetros'!B16))),'⚙ Parámetros'!G16/(1+2^(-'⚙ Parámetros'!F16*(K80-'⚙ Parámetros'!E16))),1)*K80+20/100*MAX('⚙ Parámetros'!D16/(1+2^(-'⚙ Parámetros'!C16*(L80-'⚙ Parámetros'!B16))),'⚙ Parámetros'!G16/(1+2^(-'⚙ Parámetros'!F16*(L80-'⚙ Parámetros'!E16))),1)*L80+20/100*MAX('⚙ Parámetros'!D16/(1+2^(-'⚙ Parámetros'!C16*(M80-'⚙ Parámetros'!B16))),'⚙ Parámetros'!G16/(1+2^(-'⚙ Parámetros'!F16*(M80-'⚙ Parámetros'!E16))),1)*M80)/(35/100*MAX('⚙ Parámetros'!D16/(1+2^(-'⚙ Parámetros'!C16*(J80-'⚙ Parámetros'!B16))),'⚙ Parámetros'!G16/(1+2^(-'⚙ Parámetros'!F16*(J80-'⚙ Parámetros'!E16))),1)+25/100*MAX('⚙ Parámetros'!D16/(1+2^(-'⚙ Parámetros'!C16*(K80-'⚙ Parámetros'!B16))),'⚙ Parámetros'!G16/(1+2^(-'⚙ Parámetros'!F16*(K80-'⚙ Parámetros'!E16))),1)+20/100*MAX('⚙ Parámetros'!D16/(1+2^(-'⚙ Parámetros'!C16*(L80-'⚙ Parámetros'!B16))),'⚙ Parámetros'!G16/(1+2^(-'⚙ Parámetros'!F16*(L80-'⚙ Parámetros'!E16))),1)+20/100*MAX('⚙ Parámetros'!D16/(1+2^(-'⚙ Parámetros'!C16*(M80-'⚙ Parámetros'!B16))),'⚙ Parámetros'!G16/(1+2^(-'⚙ Parámetros'!F16*(M80-'⚙ Parámetros'!E16))),1)),0)</f>
        <v>1.4000000000000001</v>
      </c>
      <c r="AD80" s="89">
        <f>IFERROR((30/100*MAX('⚙ Parámetros'!D17/(1+2^(-'⚙ Parámetros'!C17*(N80-'⚙ Parámetros'!B17))),'⚙ Parámetros'!G17/(1+2^(-'⚙ Parámetros'!F17*(N80-'⚙ Parámetros'!E17))),1)*N80+25/100*MAX('⚙ Parámetros'!D17/(1+2^(-'⚙ Parámetros'!C17*(O80-'⚙ Parámetros'!B17))),'⚙ Parámetros'!G17/(1+2^(-'⚙ Parámetros'!F17*(O80-'⚙ Parámetros'!E17))),1)*O80+25/100*MAX('⚙ Parámetros'!D17/(1+2^(-'⚙ Parámetros'!C17*(P80-'⚙ Parámetros'!B17))),'⚙ Parámetros'!G17/(1+2^(-'⚙ Parámetros'!F17*(P80-'⚙ Parámetros'!E17))),1)*P80+20/100*MAX('⚙ Parámetros'!D17/(1+2^(-'⚙ Parámetros'!C17*(Q80-'⚙ Parámetros'!B17))),'⚙ Parámetros'!G17/(1+2^(-'⚙ Parámetros'!F17*(Q80-'⚙ Parámetros'!E17))),1)*Q80)/(30/100*MAX('⚙ Parámetros'!D17/(1+2^(-'⚙ Parámetros'!C17*(N80-'⚙ Parámetros'!B17))),'⚙ Parámetros'!G17/(1+2^(-'⚙ Parámetros'!F17*(N80-'⚙ Parámetros'!E17))),1)+25/100*MAX('⚙ Parámetros'!D17/(1+2^(-'⚙ Parámetros'!C17*(O80-'⚙ Parámetros'!B17))),'⚙ Parámetros'!G17/(1+2^(-'⚙ Parámetros'!F17*(O80-'⚙ Parámetros'!E17))),1)+25/100*MAX('⚙ Parámetros'!D17/(1+2^(-'⚙ Parámetros'!C17*(P80-'⚙ Parámetros'!B17))),'⚙ Parámetros'!G17/(1+2^(-'⚙ Parámetros'!F17*(P80-'⚙ Parámetros'!E17))),1)+20/100*MAX('⚙ Parámetros'!D17/(1+2^(-'⚙ Parámetros'!C17*(Q80-'⚙ Parámetros'!B17))),'⚙ Parámetros'!G17/(1+2^(-'⚙ Parámetros'!F17*(Q80-'⚙ Parámetros'!E17))),1)),0)</f>
        <v>5</v>
      </c>
      <c r="AE80" s="89">
        <f>IFERROR((30/100*MAX('⚙ Parámetros'!D18/(1+2^(-'⚙ Parámetros'!C18*(R80-'⚙ Parámetros'!B18))),'⚙ Parámetros'!G18/(1+2^(-'⚙ Parámetros'!F18*(R80-'⚙ Parámetros'!E18))),1)*R80+30/100*MAX('⚙ Parámetros'!D18/(1+2^(-'⚙ Parámetros'!C18*(S80-'⚙ Parámetros'!B18))),'⚙ Parámetros'!G18/(1+2^(-'⚙ Parámetros'!F18*(S80-'⚙ Parámetros'!E18))),1)*S80+20/100*MAX('⚙ Parámetros'!D18/(1+2^(-'⚙ Parámetros'!C18*(T80-'⚙ Parámetros'!B18))),'⚙ Parámetros'!G18/(1+2^(-'⚙ Parámetros'!F18*(T80-'⚙ Parámetros'!E18))),1)*T80+20/100*MAX('⚙ Parámetros'!D18/(1+2^(-'⚙ Parámetros'!C18*(U80-'⚙ Parámetros'!B18))),'⚙ Parámetros'!G18/(1+2^(-'⚙ Parámetros'!F18*(U80-'⚙ Parámetros'!E18))),1)*U80)/(30/100*MAX('⚙ Parámetros'!D18/(1+2^(-'⚙ Parámetros'!C18*(R80-'⚙ Parámetros'!B18))),'⚙ Parámetros'!G18/(1+2^(-'⚙ Parámetros'!F18*(R80-'⚙ Parámetros'!E18))),1)+30/100*MAX('⚙ Parámetros'!D18/(1+2^(-'⚙ Parámetros'!C18*(S80-'⚙ Parámetros'!B18))),'⚙ Parámetros'!G18/(1+2^(-'⚙ Parámetros'!F18*(S80-'⚙ Parámetros'!E18))),1)+20/100*MAX('⚙ Parámetros'!D18/(1+2^(-'⚙ Parámetros'!C18*(T80-'⚙ Parámetros'!B18))),'⚙ Parámetros'!G18/(1+2^(-'⚙ Parámetros'!F18*(T80-'⚙ Parámetros'!E18))),1)+20/100*MAX('⚙ Parámetros'!D18/(1+2^(-'⚙ Parámetros'!C18*(U80-'⚙ Parámetros'!B18))),'⚙ Parámetros'!G18/(1+2^(-'⚙ Parámetros'!F18*(U80-'⚙ Parámetros'!E18))),1)),0)</f>
        <v>8.1801060365339655</v>
      </c>
      <c r="AF80" s="89">
        <f>IFERROR((30/100*MAX('⚙ Parámetros'!D19/(1+2^(-'⚙ Parámetros'!C19*(V80-'⚙ Parámetros'!B19))),'⚙ Parámetros'!G19/(1+2^(-'⚙ Parámetros'!F19*(V80-'⚙ Parámetros'!E19))),1)*V80+35/100*MAX('⚙ Parámetros'!D19/(1+2^(-'⚙ Parámetros'!C19*(W80-'⚙ Parámetros'!B19))),'⚙ Parámetros'!G19/(1+2^(-'⚙ Parámetros'!F19*(W80-'⚙ Parámetros'!E19))),1)*W80+35/100*MAX('⚙ Parámetros'!D19/(1+2^(-'⚙ Parámetros'!C19*(X80-'⚙ Parámetros'!B19))),'⚙ Parámetros'!G19/(1+2^(-'⚙ Parámetros'!F19*(X80-'⚙ Parámetros'!E19))),1)*X80)/(30/100*MAX('⚙ Parámetros'!D19/(1+2^(-'⚙ Parámetros'!C19*(V80-'⚙ Parámetros'!B19))),'⚙ Parámetros'!G19/(1+2^(-'⚙ Parámetros'!F19*(V80-'⚙ Parámetros'!E19))),1)+35/100*MAX('⚙ Parámetros'!D19/(1+2^(-'⚙ Parámetros'!C19*(W80-'⚙ Parámetros'!B19))),'⚙ Parámetros'!G19/(1+2^(-'⚙ Parámetros'!F19*(W80-'⚙ Parámetros'!E19))),1)+35/100*MAX('⚙ Parámetros'!D19/(1+2^(-'⚙ Parámetros'!C19*(X80-'⚙ Parámetros'!B19))),'⚙ Parámetros'!G19/(1+2^(-'⚙ Parámetros'!F19*(X80-'⚙ Parámetros'!E19))),1)),0)</f>
        <v>8.0351483057098907</v>
      </c>
      <c r="AG80" s="89">
        <f>IFERROR((35/100*MAX('⚙ Parámetros'!D20/(1+2^(-'⚙ Parámetros'!C20*(Y80-'⚙ Parámetros'!B20))),'⚙ Parámetros'!G20/(1+2^(-'⚙ Parámetros'!F20*(Y80-'⚙ Parámetros'!E20))),1)*Y80+35/100*MAX('⚙ Parámetros'!D20/(1+2^(-'⚙ Parámetros'!C20*(Z80-'⚙ Parámetros'!B20))),'⚙ Parámetros'!G20/(1+2^(-'⚙ Parámetros'!F20*(Z80-'⚙ Parámetros'!E20))),1)*Z80+30/100*MAX('⚙ Parámetros'!D20/(1+2^(-'⚙ Parámetros'!C20*(AA80-'⚙ Parámetros'!B20))),'⚙ Parámetros'!G20/(1+2^(-'⚙ Parámetros'!F20*(AA80-'⚙ Parámetros'!E20))),1)*AA80)/(35/100*MAX('⚙ Parámetros'!D20/(1+2^(-'⚙ Parámetros'!C20*(Y80-'⚙ Parámetros'!B20))),'⚙ Parámetros'!G20/(1+2^(-'⚙ Parámetros'!F20*(Y80-'⚙ Parámetros'!E20))),1)+35/100*MAX('⚙ Parámetros'!D20/(1+2^(-'⚙ Parámetros'!C20*(Z80-'⚙ Parámetros'!B20))),'⚙ Parámetros'!G20/(1+2^(-'⚙ Parámetros'!F20*(Z80-'⚙ Parámetros'!E20))),1)+30/100*MAX('⚙ Parámetros'!D20/(1+2^(-'⚙ Parámetros'!C20*(AA80-'⚙ Parámetros'!B20))),'⚙ Parámetros'!G20/(1+2^(-'⚙ Parámetros'!F20*(AA80-'⚙ Parámetros'!E20))),1)),0)</f>
        <v>3.7272727272727275</v>
      </c>
      <c r="AH80" s="90">
        <f>('⚙ Parámetros'!B5/100*AB80+'⚙ Parámetros'!B6/100*AC80+'⚙ Parámetros'!B7/100*AD80+'⚙ Parámetros'!B8/100*AE80+'⚙ Parámetros'!B9/100*AF80+'⚙ Parámetros'!B10/100*AG80)</f>
        <v>3.6633093731368835</v>
      </c>
      <c r="AI80" s="91">
        <f ca="1">MIN(1+MAX(0,TODAY()-DATE(2025,4,14))/365*'⚙ Parámetros'!B33,'⚙ Parámetros'!B34)</f>
        <v>1.1742465753424658</v>
      </c>
      <c r="AJ80" s="82">
        <f t="shared" ca="1" si="4"/>
        <v>4.3016284858259404</v>
      </c>
      <c r="AK80" s="92" t="str">
        <f ca="1">IF(AB80&gt;='⚙ Parámetros'!B23,"⚑ AUTO-PRIOR.(D1≥8)",IF(AJ80&gt;='⚙ Parámetros'!B23,"PRIORITARIO",IF(AJ80&gt;='⚙ Parámetros'!B24,"ALTA PRIORIDAD",IF(AJ80&gt;='⚙ Parámetros'!B25,"PRIORIDAD MEDIA",IF(AJ80&gt;='⚙ Parámetros'!B26,"BAJA PRIORIDAD","DESCARTAR")))))</f>
        <v>BAJA PRIORIDAD</v>
      </c>
      <c r="AL80" s="69" t="str">
        <f t="shared" si="5"/>
        <v>—</v>
      </c>
      <c r="AM80" s="85">
        <v>14</v>
      </c>
      <c r="AN80" s="83" t="str">
        <f>IF(AM80="","—",IF(AM80&lt;'⚙ Parámetros'!B29,"🟢 Corto",IF(AM80&lt;'⚙ Parámetros'!B30,"🟡 Medio","🔴 Largo")))</f>
        <v>🟢 Corto</v>
      </c>
    </row>
    <row r="81" spans="1:40" ht="18.75" customHeight="1" x14ac:dyDescent="0.25">
      <c r="A81" s="69">
        <v>77</v>
      </c>
      <c r="B81" s="70" t="s">
        <v>290</v>
      </c>
      <c r="C81" s="4" t="s">
        <v>147</v>
      </c>
      <c r="D81" s="71" t="s">
        <v>263</v>
      </c>
      <c r="E81" s="72" t="s">
        <v>190</v>
      </c>
      <c r="F81" s="74">
        <v>1</v>
      </c>
      <c r="G81" s="74">
        <v>1</v>
      </c>
      <c r="H81" s="73">
        <v>5</v>
      </c>
      <c r="I81" s="74">
        <v>1</v>
      </c>
      <c r="J81" s="74">
        <v>1</v>
      </c>
      <c r="K81" s="74">
        <v>1</v>
      </c>
      <c r="L81" s="74">
        <v>1</v>
      </c>
      <c r="M81" s="73">
        <v>3</v>
      </c>
      <c r="N81" s="73">
        <v>7</v>
      </c>
      <c r="O81" s="73">
        <v>6</v>
      </c>
      <c r="P81" s="73">
        <v>7</v>
      </c>
      <c r="Q81" s="74">
        <v>1</v>
      </c>
      <c r="R81" s="73">
        <v>5</v>
      </c>
      <c r="S81" s="73">
        <v>5</v>
      </c>
      <c r="T81" s="73">
        <v>5</v>
      </c>
      <c r="U81" s="73">
        <v>5</v>
      </c>
      <c r="V81" s="73">
        <v>5</v>
      </c>
      <c r="W81" s="73">
        <v>6</v>
      </c>
      <c r="X81" s="73">
        <v>6</v>
      </c>
      <c r="Y81" s="73">
        <v>4</v>
      </c>
      <c r="Z81" s="74">
        <v>2</v>
      </c>
      <c r="AA81" s="73">
        <v>5</v>
      </c>
      <c r="AB81" s="80">
        <f>IFERROR((30/100*MAX('⚙ Parámetros'!D15/(1+2^(-'⚙ Parámetros'!C15*(F81-'⚙ Parámetros'!B15))),'⚙ Parámetros'!G15/(1+2^(-'⚙ Parámetros'!F15*(F81-'⚙ Parámetros'!E15))),1)*F81+30/100*MAX('⚙ Parámetros'!D15/(1+2^(-'⚙ Parámetros'!C15*(G81-'⚙ Parámetros'!B15))),'⚙ Parámetros'!G15/(1+2^(-'⚙ Parámetros'!F15*(G81-'⚙ Parámetros'!E15))),1)*G81+20/100*MAX('⚙ Parámetros'!D15/(1+2^(-'⚙ Parámetros'!C15*(H81-'⚙ Parámetros'!B15))),'⚙ Parámetros'!G15/(1+2^(-'⚙ Parámetros'!F15*(H81-'⚙ Parámetros'!E15))),1)*H81+20/100*MAX('⚙ Parámetros'!D15/(1+2^(-'⚙ Parámetros'!C15*(I81-'⚙ Parámetros'!B15))),'⚙ Parámetros'!G15/(1+2^(-'⚙ Parámetros'!F15*(I81-'⚙ Parámetros'!E15))),1)*I81)/(30/100*MAX('⚙ Parámetros'!D15/(1+2^(-'⚙ Parámetros'!C15*(F81-'⚙ Parámetros'!B15))),'⚙ Parámetros'!G15/(1+2^(-'⚙ Parámetros'!F15*(F81-'⚙ Parámetros'!E15))),1)+30/100*MAX('⚙ Parámetros'!D15/(1+2^(-'⚙ Parámetros'!C15*(G81-'⚙ Parámetros'!B15))),'⚙ Parámetros'!G15/(1+2^(-'⚙ Parámetros'!F15*(G81-'⚙ Parámetros'!E15))),1)+20/100*MAX('⚙ Parámetros'!D15/(1+2^(-'⚙ Parámetros'!C15*(H81-'⚙ Parámetros'!B15))),'⚙ Parámetros'!G15/(1+2^(-'⚙ Parámetros'!F15*(H81-'⚙ Parámetros'!E15))),1)+20/100*MAX('⚙ Parámetros'!D15/(1+2^(-'⚙ Parámetros'!C15*(I81-'⚙ Parámetros'!B15))),'⚙ Parámetros'!G15/(1+2^(-'⚙ Parámetros'!F15*(I81-'⚙ Parámetros'!E15))),1)),0)</f>
        <v>2.1428571428571428</v>
      </c>
      <c r="AC81" s="80">
        <f>IFERROR((35/100*MAX('⚙ Parámetros'!D16/(1+2^(-'⚙ Parámetros'!C16*(J81-'⚙ Parámetros'!B16))),'⚙ Parámetros'!G16/(1+2^(-'⚙ Parámetros'!F16*(J81-'⚙ Parámetros'!E16))),1)*J81+25/100*MAX('⚙ Parámetros'!D16/(1+2^(-'⚙ Parámetros'!C16*(K81-'⚙ Parámetros'!B16))),'⚙ Parámetros'!G16/(1+2^(-'⚙ Parámetros'!F16*(K81-'⚙ Parámetros'!E16))),1)*K81+20/100*MAX('⚙ Parámetros'!D16/(1+2^(-'⚙ Parámetros'!C16*(L81-'⚙ Parámetros'!B16))),'⚙ Parámetros'!G16/(1+2^(-'⚙ Parámetros'!F16*(L81-'⚙ Parámetros'!E16))),1)*L81+20/100*MAX('⚙ Parámetros'!D16/(1+2^(-'⚙ Parámetros'!C16*(M81-'⚙ Parámetros'!B16))),'⚙ Parámetros'!G16/(1+2^(-'⚙ Parámetros'!F16*(M81-'⚙ Parámetros'!E16))),1)*M81)/(35/100*MAX('⚙ Parámetros'!D16/(1+2^(-'⚙ Parámetros'!C16*(J81-'⚙ Parámetros'!B16))),'⚙ Parámetros'!G16/(1+2^(-'⚙ Parámetros'!F16*(J81-'⚙ Parámetros'!E16))),1)+25/100*MAX('⚙ Parámetros'!D16/(1+2^(-'⚙ Parámetros'!C16*(K81-'⚙ Parámetros'!B16))),'⚙ Parámetros'!G16/(1+2^(-'⚙ Parámetros'!F16*(K81-'⚙ Parámetros'!E16))),1)+20/100*MAX('⚙ Parámetros'!D16/(1+2^(-'⚙ Parámetros'!C16*(L81-'⚙ Parámetros'!B16))),'⚙ Parámetros'!G16/(1+2^(-'⚙ Parámetros'!F16*(L81-'⚙ Parámetros'!E16))),1)+20/100*MAX('⚙ Parámetros'!D16/(1+2^(-'⚙ Parámetros'!C16*(M81-'⚙ Parámetros'!B16))),'⚙ Parámetros'!G16/(1+2^(-'⚙ Parámetros'!F16*(M81-'⚙ Parámetros'!E16))),1)),0)</f>
        <v>1.4000000000000001</v>
      </c>
      <c r="AD81" s="80">
        <f>IFERROR((30/100*MAX('⚙ Parámetros'!D17/(1+2^(-'⚙ Parámetros'!C17*(N81-'⚙ Parámetros'!B17))),'⚙ Parámetros'!G17/(1+2^(-'⚙ Parámetros'!F17*(N81-'⚙ Parámetros'!E17))),1)*N81+25/100*MAX('⚙ Parámetros'!D17/(1+2^(-'⚙ Parámetros'!C17*(O81-'⚙ Parámetros'!B17))),'⚙ Parámetros'!G17/(1+2^(-'⚙ Parámetros'!F17*(O81-'⚙ Parámetros'!E17))),1)*O81+25/100*MAX('⚙ Parámetros'!D17/(1+2^(-'⚙ Parámetros'!C17*(P81-'⚙ Parámetros'!B17))),'⚙ Parámetros'!G17/(1+2^(-'⚙ Parámetros'!F17*(P81-'⚙ Parámetros'!E17))),1)*P81+20/100*MAX('⚙ Parámetros'!D17/(1+2^(-'⚙ Parámetros'!C17*(Q81-'⚙ Parámetros'!B17))),'⚙ Parámetros'!G17/(1+2^(-'⚙ Parámetros'!F17*(Q81-'⚙ Parámetros'!E17))),1)*Q81)/(30/100*MAX('⚙ Parámetros'!D17/(1+2^(-'⚙ Parámetros'!C17*(N81-'⚙ Parámetros'!B17))),'⚙ Parámetros'!G17/(1+2^(-'⚙ Parámetros'!F17*(N81-'⚙ Parámetros'!E17))),1)+25/100*MAX('⚙ Parámetros'!D17/(1+2^(-'⚙ Parámetros'!C17*(O81-'⚙ Parámetros'!B17))),'⚙ Parámetros'!G17/(1+2^(-'⚙ Parámetros'!F17*(O81-'⚙ Parámetros'!E17))),1)+25/100*MAX('⚙ Parámetros'!D17/(1+2^(-'⚙ Parámetros'!C17*(P81-'⚙ Parámetros'!B17))),'⚙ Parámetros'!G17/(1+2^(-'⚙ Parámetros'!F17*(P81-'⚙ Parámetros'!E17))),1)+20/100*MAX('⚙ Parámetros'!D17/(1+2^(-'⚙ Parámetros'!C17*(Q81-'⚙ Parámetros'!B17))),'⚙ Parámetros'!G17/(1+2^(-'⚙ Parámetros'!F17*(Q81-'⚙ Parámetros'!E17))),1)),0)</f>
        <v>6.2058823529411757</v>
      </c>
      <c r="AE81" s="80">
        <f>IFERROR((30/100*MAX('⚙ Parámetros'!D18/(1+2^(-'⚙ Parámetros'!C18*(R81-'⚙ Parámetros'!B18))),'⚙ Parámetros'!G18/(1+2^(-'⚙ Parámetros'!F18*(R81-'⚙ Parámetros'!E18))),1)*R81+30/100*MAX('⚙ Parámetros'!D18/(1+2^(-'⚙ Parámetros'!C18*(S81-'⚙ Parámetros'!B18))),'⚙ Parámetros'!G18/(1+2^(-'⚙ Parámetros'!F18*(S81-'⚙ Parámetros'!E18))),1)*S81+20/100*MAX('⚙ Parámetros'!D18/(1+2^(-'⚙ Parámetros'!C18*(T81-'⚙ Parámetros'!B18))),'⚙ Parámetros'!G18/(1+2^(-'⚙ Parámetros'!F18*(T81-'⚙ Parámetros'!E18))),1)*T81+20/100*MAX('⚙ Parámetros'!D18/(1+2^(-'⚙ Parámetros'!C18*(U81-'⚙ Parámetros'!B18))),'⚙ Parámetros'!G18/(1+2^(-'⚙ Parámetros'!F18*(U81-'⚙ Parámetros'!E18))),1)*U81)/(30/100*MAX('⚙ Parámetros'!D18/(1+2^(-'⚙ Parámetros'!C18*(R81-'⚙ Parámetros'!B18))),'⚙ Parámetros'!G18/(1+2^(-'⚙ Parámetros'!F18*(R81-'⚙ Parámetros'!E18))),1)+30/100*MAX('⚙ Parámetros'!D18/(1+2^(-'⚙ Parámetros'!C18*(S81-'⚙ Parámetros'!B18))),'⚙ Parámetros'!G18/(1+2^(-'⚙ Parámetros'!F18*(S81-'⚙ Parámetros'!E18))),1)+20/100*MAX('⚙ Parámetros'!D18/(1+2^(-'⚙ Parámetros'!C18*(T81-'⚙ Parámetros'!B18))),'⚙ Parámetros'!G18/(1+2^(-'⚙ Parámetros'!F18*(T81-'⚙ Parámetros'!E18))),1)+20/100*MAX('⚙ Parámetros'!D18/(1+2^(-'⚙ Parámetros'!C18*(U81-'⚙ Parámetros'!B18))),'⚙ Parámetros'!G18/(1+2^(-'⚙ Parámetros'!F18*(U81-'⚙ Parámetros'!E18))),1)),0)</f>
        <v>5</v>
      </c>
      <c r="AF81" s="80">
        <f>IFERROR((30/100*MAX('⚙ Parámetros'!D19/(1+2^(-'⚙ Parámetros'!C19*(V81-'⚙ Parámetros'!B19))),'⚙ Parámetros'!G19/(1+2^(-'⚙ Parámetros'!F19*(V81-'⚙ Parámetros'!E19))),1)*V81+35/100*MAX('⚙ Parámetros'!D19/(1+2^(-'⚙ Parámetros'!C19*(W81-'⚙ Parámetros'!B19))),'⚙ Parámetros'!G19/(1+2^(-'⚙ Parámetros'!F19*(W81-'⚙ Parámetros'!E19))),1)*W81+35/100*MAX('⚙ Parámetros'!D19/(1+2^(-'⚙ Parámetros'!C19*(X81-'⚙ Parámetros'!B19))),'⚙ Parámetros'!G19/(1+2^(-'⚙ Parámetros'!F19*(X81-'⚙ Parámetros'!E19))),1)*X81)/(30/100*MAX('⚙ Parámetros'!D19/(1+2^(-'⚙ Parámetros'!C19*(V81-'⚙ Parámetros'!B19))),'⚙ Parámetros'!G19/(1+2^(-'⚙ Parámetros'!F19*(V81-'⚙ Parámetros'!E19))),1)+35/100*MAX('⚙ Parámetros'!D19/(1+2^(-'⚙ Parámetros'!C19*(W81-'⚙ Parámetros'!B19))),'⚙ Parámetros'!G19/(1+2^(-'⚙ Parámetros'!F19*(W81-'⚙ Parámetros'!E19))),1)+35/100*MAX('⚙ Parámetros'!D19/(1+2^(-'⚙ Parámetros'!C19*(X81-'⚙ Parámetros'!B19))),'⚙ Parámetros'!G19/(1+2^(-'⚙ Parámetros'!F19*(X81-'⚙ Parámetros'!E19))),1)),0)</f>
        <v>5.7368421052631575</v>
      </c>
      <c r="AG81" s="80">
        <f>IFERROR((35/100*MAX('⚙ Parámetros'!D20/(1+2^(-'⚙ Parámetros'!C20*(Y81-'⚙ Parámetros'!B20))),'⚙ Parámetros'!G20/(1+2^(-'⚙ Parámetros'!F20*(Y81-'⚙ Parámetros'!E20))),1)*Y81+35/100*MAX('⚙ Parámetros'!D20/(1+2^(-'⚙ Parámetros'!C20*(Z81-'⚙ Parámetros'!B20))),'⚙ Parámetros'!G20/(1+2^(-'⚙ Parámetros'!F20*(Z81-'⚙ Parámetros'!E20))),1)*Z81+30/100*MAX('⚙ Parámetros'!D20/(1+2^(-'⚙ Parámetros'!C20*(AA81-'⚙ Parámetros'!B20))),'⚙ Parámetros'!G20/(1+2^(-'⚙ Parámetros'!F20*(AA81-'⚙ Parámetros'!E20))),1)*AA81)/(35/100*MAX('⚙ Parámetros'!D20/(1+2^(-'⚙ Parámetros'!C20*(Y81-'⚙ Parámetros'!B20))),'⚙ Parámetros'!G20/(1+2^(-'⚙ Parámetros'!F20*(Y81-'⚙ Parámetros'!E20))),1)+35/100*MAX('⚙ Parámetros'!D20/(1+2^(-'⚙ Parámetros'!C20*(Z81-'⚙ Parámetros'!B20))),'⚙ Parámetros'!G20/(1+2^(-'⚙ Parámetros'!F20*(Z81-'⚙ Parámetros'!E20))),1)+30/100*MAX('⚙ Parámetros'!D20/(1+2^(-'⚙ Parámetros'!C20*(AA81-'⚙ Parámetros'!B20))),'⚙ Parámetros'!G20/(1+2^(-'⚙ Parámetros'!F20*(AA81-'⚙ Parámetros'!E20))),1)),0)</f>
        <v>3.7272727272727275</v>
      </c>
      <c r="AH81" s="81">
        <f>('⚙ Parámetros'!B5/100*AB81+'⚙ Parámetros'!B6/100*AC81+'⚙ Parámetros'!B7/100*AD81+'⚙ Parámetros'!B8/100*AE81+'⚙ Parámetros'!B9/100*AF81+'⚙ Parámetros'!B10/100*AG81)</f>
        <v>3.6358996421535124</v>
      </c>
      <c r="AI81" s="33">
        <f ca="1">MIN(1+MAX(0,TODAY()-DATE(2026,3,9))/365*'⚙ Parámetros'!B33,'⚙ Parámetros'!B34)</f>
        <v>1.039041095890411</v>
      </c>
      <c r="AJ81" s="82">
        <f t="shared" ca="1" si="4"/>
        <v>3.7778491487307391</v>
      </c>
      <c r="AK81" s="83" t="str">
        <f ca="1">IF(AB81&gt;='⚙ Parámetros'!B23,"⚑ AUTO-PRIOR.(D1≥8)",IF(AJ81&gt;='⚙ Parámetros'!B23,"PRIORITARIO",IF(AJ81&gt;='⚙ Parámetros'!B24,"ALTA PRIORIDAD",IF(AJ81&gt;='⚙ Parámetros'!B25,"PRIORIDAD MEDIA",IF(AJ81&gt;='⚙ Parámetros'!B26,"BAJA PRIORIDAD","DESCARTAR")))))</f>
        <v>DESCARTAR</v>
      </c>
      <c r="AL81" s="84" t="str">
        <f t="shared" si="5"/>
        <v>—</v>
      </c>
      <c r="AM81" s="85">
        <v>49</v>
      </c>
      <c r="AN81" s="83" t="str">
        <f>IF(AM81="","—",IF(AM81&lt;'⚙ Parámetros'!B29,"🟢 Corto",IF(AM81&lt;'⚙ Parámetros'!B30,"🟡 Medio","🔴 Largo")))</f>
        <v>🟡 Medio</v>
      </c>
    </row>
    <row r="82" spans="1:40" ht="18.75" customHeight="1" x14ac:dyDescent="0.25">
      <c r="A82" s="69">
        <v>78</v>
      </c>
      <c r="B82" s="30" t="s">
        <v>291</v>
      </c>
      <c r="C82" s="26" t="s">
        <v>138</v>
      </c>
      <c r="D82" s="71" t="s">
        <v>243</v>
      </c>
      <c r="E82" s="72" t="s">
        <v>292</v>
      </c>
      <c r="F82" s="74">
        <v>1</v>
      </c>
      <c r="G82" s="74">
        <v>1</v>
      </c>
      <c r="H82" s="86">
        <v>5</v>
      </c>
      <c r="I82" s="74">
        <v>1</v>
      </c>
      <c r="J82" s="74">
        <v>1</v>
      </c>
      <c r="K82" s="74">
        <v>1</v>
      </c>
      <c r="L82" s="74">
        <v>1</v>
      </c>
      <c r="M82" s="86">
        <v>3</v>
      </c>
      <c r="N82" s="86">
        <v>7</v>
      </c>
      <c r="O82" s="86">
        <v>6</v>
      </c>
      <c r="P82" s="86">
        <v>7</v>
      </c>
      <c r="Q82" s="74">
        <v>1</v>
      </c>
      <c r="R82" s="86">
        <v>5</v>
      </c>
      <c r="S82" s="86">
        <v>5</v>
      </c>
      <c r="T82" s="86">
        <v>5</v>
      </c>
      <c r="U82" s="86">
        <v>5</v>
      </c>
      <c r="V82" s="86">
        <v>5</v>
      </c>
      <c r="W82" s="86">
        <v>6</v>
      </c>
      <c r="X82" s="86">
        <v>6</v>
      </c>
      <c r="Y82" s="86">
        <v>4</v>
      </c>
      <c r="Z82" s="74">
        <v>2</v>
      </c>
      <c r="AA82" s="86">
        <v>5</v>
      </c>
      <c r="AB82" s="89">
        <f>IFERROR((30/100*MAX('⚙ Parámetros'!D15/(1+2^(-'⚙ Parámetros'!C15*(F82-'⚙ Parámetros'!B15))),'⚙ Parámetros'!G15/(1+2^(-'⚙ Parámetros'!F15*(F82-'⚙ Parámetros'!E15))),1)*F82+30/100*MAX('⚙ Parámetros'!D15/(1+2^(-'⚙ Parámetros'!C15*(G82-'⚙ Parámetros'!B15))),'⚙ Parámetros'!G15/(1+2^(-'⚙ Parámetros'!F15*(G82-'⚙ Parámetros'!E15))),1)*G82+20/100*MAX('⚙ Parámetros'!D15/(1+2^(-'⚙ Parámetros'!C15*(H82-'⚙ Parámetros'!B15))),'⚙ Parámetros'!G15/(1+2^(-'⚙ Parámetros'!F15*(H82-'⚙ Parámetros'!E15))),1)*H82+20/100*MAX('⚙ Parámetros'!D15/(1+2^(-'⚙ Parámetros'!C15*(I82-'⚙ Parámetros'!B15))),'⚙ Parámetros'!G15/(1+2^(-'⚙ Parámetros'!F15*(I82-'⚙ Parámetros'!E15))),1)*I82)/(30/100*MAX('⚙ Parámetros'!D15/(1+2^(-'⚙ Parámetros'!C15*(F82-'⚙ Parámetros'!B15))),'⚙ Parámetros'!G15/(1+2^(-'⚙ Parámetros'!F15*(F82-'⚙ Parámetros'!E15))),1)+30/100*MAX('⚙ Parámetros'!D15/(1+2^(-'⚙ Parámetros'!C15*(G82-'⚙ Parámetros'!B15))),'⚙ Parámetros'!G15/(1+2^(-'⚙ Parámetros'!F15*(G82-'⚙ Parámetros'!E15))),1)+20/100*MAX('⚙ Parámetros'!D15/(1+2^(-'⚙ Parámetros'!C15*(H82-'⚙ Parámetros'!B15))),'⚙ Parámetros'!G15/(1+2^(-'⚙ Parámetros'!F15*(H82-'⚙ Parámetros'!E15))),1)+20/100*MAX('⚙ Parámetros'!D15/(1+2^(-'⚙ Parámetros'!C15*(I82-'⚙ Parámetros'!B15))),'⚙ Parámetros'!G15/(1+2^(-'⚙ Parámetros'!F15*(I82-'⚙ Parámetros'!E15))),1)),0)</f>
        <v>2.1428571428571428</v>
      </c>
      <c r="AC82" s="89">
        <f>IFERROR((35/100*MAX('⚙ Parámetros'!D16/(1+2^(-'⚙ Parámetros'!C16*(J82-'⚙ Parámetros'!B16))),'⚙ Parámetros'!G16/(1+2^(-'⚙ Parámetros'!F16*(J82-'⚙ Parámetros'!E16))),1)*J82+25/100*MAX('⚙ Parámetros'!D16/(1+2^(-'⚙ Parámetros'!C16*(K82-'⚙ Parámetros'!B16))),'⚙ Parámetros'!G16/(1+2^(-'⚙ Parámetros'!F16*(K82-'⚙ Parámetros'!E16))),1)*K82+20/100*MAX('⚙ Parámetros'!D16/(1+2^(-'⚙ Parámetros'!C16*(L82-'⚙ Parámetros'!B16))),'⚙ Parámetros'!G16/(1+2^(-'⚙ Parámetros'!F16*(L82-'⚙ Parámetros'!E16))),1)*L82+20/100*MAX('⚙ Parámetros'!D16/(1+2^(-'⚙ Parámetros'!C16*(M82-'⚙ Parámetros'!B16))),'⚙ Parámetros'!G16/(1+2^(-'⚙ Parámetros'!F16*(M82-'⚙ Parámetros'!E16))),1)*M82)/(35/100*MAX('⚙ Parámetros'!D16/(1+2^(-'⚙ Parámetros'!C16*(J82-'⚙ Parámetros'!B16))),'⚙ Parámetros'!G16/(1+2^(-'⚙ Parámetros'!F16*(J82-'⚙ Parámetros'!E16))),1)+25/100*MAX('⚙ Parámetros'!D16/(1+2^(-'⚙ Parámetros'!C16*(K82-'⚙ Parámetros'!B16))),'⚙ Parámetros'!G16/(1+2^(-'⚙ Parámetros'!F16*(K82-'⚙ Parámetros'!E16))),1)+20/100*MAX('⚙ Parámetros'!D16/(1+2^(-'⚙ Parámetros'!C16*(L82-'⚙ Parámetros'!B16))),'⚙ Parámetros'!G16/(1+2^(-'⚙ Parámetros'!F16*(L82-'⚙ Parámetros'!E16))),1)+20/100*MAX('⚙ Parámetros'!D16/(1+2^(-'⚙ Parámetros'!C16*(M82-'⚙ Parámetros'!B16))),'⚙ Parámetros'!G16/(1+2^(-'⚙ Parámetros'!F16*(M82-'⚙ Parámetros'!E16))),1)),0)</f>
        <v>1.4000000000000001</v>
      </c>
      <c r="AD82" s="89">
        <f>IFERROR((30/100*MAX('⚙ Parámetros'!D17/(1+2^(-'⚙ Parámetros'!C17*(N82-'⚙ Parámetros'!B17))),'⚙ Parámetros'!G17/(1+2^(-'⚙ Parámetros'!F17*(N82-'⚙ Parámetros'!E17))),1)*N82+25/100*MAX('⚙ Parámetros'!D17/(1+2^(-'⚙ Parámetros'!C17*(O82-'⚙ Parámetros'!B17))),'⚙ Parámetros'!G17/(1+2^(-'⚙ Parámetros'!F17*(O82-'⚙ Parámetros'!E17))),1)*O82+25/100*MAX('⚙ Parámetros'!D17/(1+2^(-'⚙ Parámetros'!C17*(P82-'⚙ Parámetros'!B17))),'⚙ Parámetros'!G17/(1+2^(-'⚙ Parámetros'!F17*(P82-'⚙ Parámetros'!E17))),1)*P82+20/100*MAX('⚙ Parámetros'!D17/(1+2^(-'⚙ Parámetros'!C17*(Q82-'⚙ Parámetros'!B17))),'⚙ Parámetros'!G17/(1+2^(-'⚙ Parámetros'!F17*(Q82-'⚙ Parámetros'!E17))),1)*Q82)/(30/100*MAX('⚙ Parámetros'!D17/(1+2^(-'⚙ Parámetros'!C17*(N82-'⚙ Parámetros'!B17))),'⚙ Parámetros'!G17/(1+2^(-'⚙ Parámetros'!F17*(N82-'⚙ Parámetros'!E17))),1)+25/100*MAX('⚙ Parámetros'!D17/(1+2^(-'⚙ Parámetros'!C17*(O82-'⚙ Parámetros'!B17))),'⚙ Parámetros'!G17/(1+2^(-'⚙ Parámetros'!F17*(O82-'⚙ Parámetros'!E17))),1)+25/100*MAX('⚙ Parámetros'!D17/(1+2^(-'⚙ Parámetros'!C17*(P82-'⚙ Parámetros'!B17))),'⚙ Parámetros'!G17/(1+2^(-'⚙ Parámetros'!F17*(P82-'⚙ Parámetros'!E17))),1)+20/100*MAX('⚙ Parámetros'!D17/(1+2^(-'⚙ Parámetros'!C17*(Q82-'⚙ Parámetros'!B17))),'⚙ Parámetros'!G17/(1+2^(-'⚙ Parámetros'!F17*(Q82-'⚙ Parámetros'!E17))),1)),0)</f>
        <v>6.2058823529411757</v>
      </c>
      <c r="AE82" s="89">
        <f>IFERROR((30/100*MAX('⚙ Parámetros'!D18/(1+2^(-'⚙ Parámetros'!C18*(R82-'⚙ Parámetros'!B18))),'⚙ Parámetros'!G18/(1+2^(-'⚙ Parámetros'!F18*(R82-'⚙ Parámetros'!E18))),1)*R82+30/100*MAX('⚙ Parámetros'!D18/(1+2^(-'⚙ Parámetros'!C18*(S82-'⚙ Parámetros'!B18))),'⚙ Parámetros'!G18/(1+2^(-'⚙ Parámetros'!F18*(S82-'⚙ Parámetros'!E18))),1)*S82+20/100*MAX('⚙ Parámetros'!D18/(1+2^(-'⚙ Parámetros'!C18*(T82-'⚙ Parámetros'!B18))),'⚙ Parámetros'!G18/(1+2^(-'⚙ Parámetros'!F18*(T82-'⚙ Parámetros'!E18))),1)*T82+20/100*MAX('⚙ Parámetros'!D18/(1+2^(-'⚙ Parámetros'!C18*(U82-'⚙ Parámetros'!B18))),'⚙ Parámetros'!G18/(1+2^(-'⚙ Parámetros'!F18*(U82-'⚙ Parámetros'!E18))),1)*U82)/(30/100*MAX('⚙ Parámetros'!D18/(1+2^(-'⚙ Parámetros'!C18*(R82-'⚙ Parámetros'!B18))),'⚙ Parámetros'!G18/(1+2^(-'⚙ Parámetros'!F18*(R82-'⚙ Parámetros'!E18))),1)+30/100*MAX('⚙ Parámetros'!D18/(1+2^(-'⚙ Parámetros'!C18*(S82-'⚙ Parámetros'!B18))),'⚙ Parámetros'!G18/(1+2^(-'⚙ Parámetros'!F18*(S82-'⚙ Parámetros'!E18))),1)+20/100*MAX('⚙ Parámetros'!D18/(1+2^(-'⚙ Parámetros'!C18*(T82-'⚙ Parámetros'!B18))),'⚙ Parámetros'!G18/(1+2^(-'⚙ Parámetros'!F18*(T82-'⚙ Parámetros'!E18))),1)+20/100*MAX('⚙ Parámetros'!D18/(1+2^(-'⚙ Parámetros'!C18*(U82-'⚙ Parámetros'!B18))),'⚙ Parámetros'!G18/(1+2^(-'⚙ Parámetros'!F18*(U82-'⚙ Parámetros'!E18))),1)),0)</f>
        <v>5</v>
      </c>
      <c r="AF82" s="89">
        <f>IFERROR((30/100*MAX('⚙ Parámetros'!D19/(1+2^(-'⚙ Parámetros'!C19*(V82-'⚙ Parámetros'!B19))),'⚙ Parámetros'!G19/(1+2^(-'⚙ Parámetros'!F19*(V82-'⚙ Parámetros'!E19))),1)*V82+35/100*MAX('⚙ Parámetros'!D19/(1+2^(-'⚙ Parámetros'!C19*(W82-'⚙ Parámetros'!B19))),'⚙ Parámetros'!G19/(1+2^(-'⚙ Parámetros'!F19*(W82-'⚙ Parámetros'!E19))),1)*W82+35/100*MAX('⚙ Parámetros'!D19/(1+2^(-'⚙ Parámetros'!C19*(X82-'⚙ Parámetros'!B19))),'⚙ Parámetros'!G19/(1+2^(-'⚙ Parámetros'!F19*(X82-'⚙ Parámetros'!E19))),1)*X82)/(30/100*MAX('⚙ Parámetros'!D19/(1+2^(-'⚙ Parámetros'!C19*(V82-'⚙ Parámetros'!B19))),'⚙ Parámetros'!G19/(1+2^(-'⚙ Parámetros'!F19*(V82-'⚙ Parámetros'!E19))),1)+35/100*MAX('⚙ Parámetros'!D19/(1+2^(-'⚙ Parámetros'!C19*(W82-'⚙ Parámetros'!B19))),'⚙ Parámetros'!G19/(1+2^(-'⚙ Parámetros'!F19*(W82-'⚙ Parámetros'!E19))),1)+35/100*MAX('⚙ Parámetros'!D19/(1+2^(-'⚙ Parámetros'!C19*(X82-'⚙ Parámetros'!B19))),'⚙ Parámetros'!G19/(1+2^(-'⚙ Parámetros'!F19*(X82-'⚙ Parámetros'!E19))),1)),0)</f>
        <v>5.7368421052631575</v>
      </c>
      <c r="AG82" s="89">
        <f>IFERROR((35/100*MAX('⚙ Parámetros'!D20/(1+2^(-'⚙ Parámetros'!C20*(Y82-'⚙ Parámetros'!B20))),'⚙ Parámetros'!G20/(1+2^(-'⚙ Parámetros'!F20*(Y82-'⚙ Parámetros'!E20))),1)*Y82+35/100*MAX('⚙ Parámetros'!D20/(1+2^(-'⚙ Parámetros'!C20*(Z82-'⚙ Parámetros'!B20))),'⚙ Parámetros'!G20/(1+2^(-'⚙ Parámetros'!F20*(Z82-'⚙ Parámetros'!E20))),1)*Z82+30/100*MAX('⚙ Parámetros'!D20/(1+2^(-'⚙ Parámetros'!C20*(AA82-'⚙ Parámetros'!B20))),'⚙ Parámetros'!G20/(1+2^(-'⚙ Parámetros'!F20*(AA82-'⚙ Parámetros'!E20))),1)*AA82)/(35/100*MAX('⚙ Parámetros'!D20/(1+2^(-'⚙ Parámetros'!C20*(Y82-'⚙ Parámetros'!B20))),'⚙ Parámetros'!G20/(1+2^(-'⚙ Parámetros'!F20*(Y82-'⚙ Parámetros'!E20))),1)+35/100*MAX('⚙ Parámetros'!D20/(1+2^(-'⚙ Parámetros'!C20*(Z82-'⚙ Parámetros'!B20))),'⚙ Parámetros'!G20/(1+2^(-'⚙ Parámetros'!F20*(Z82-'⚙ Parámetros'!E20))),1)+30/100*MAX('⚙ Parámetros'!D20/(1+2^(-'⚙ Parámetros'!C20*(AA82-'⚙ Parámetros'!B20))),'⚙ Parámetros'!G20/(1+2^(-'⚙ Parámetros'!F20*(AA82-'⚙ Parámetros'!E20))),1)),0)</f>
        <v>3.7272727272727275</v>
      </c>
      <c r="AH82" s="90">
        <f>('⚙ Parámetros'!B5/100*AB82+'⚙ Parámetros'!B6/100*AC82+'⚙ Parámetros'!B7/100*AD82+'⚙ Parámetros'!B8/100*AE82+'⚙ Parámetros'!B9/100*AF82+'⚙ Parámetros'!B10/100*AG82)</f>
        <v>3.6358996421535124</v>
      </c>
      <c r="AI82" s="91">
        <f ca="1">MIN(1+MAX(0,TODAY()-DATE(2025,5,16))/365*'⚙ Parámetros'!B33,'⚙ Parámetros'!B34)</f>
        <v>1.161095890410959</v>
      </c>
      <c r="AJ82" s="82">
        <f t="shared" ca="1" si="4"/>
        <v>4.2216281324511193</v>
      </c>
      <c r="AK82" s="92" t="str">
        <f ca="1">IF(AB82&gt;='⚙ Parámetros'!B23,"⚑ AUTO-PRIOR.(D1≥8)",IF(AJ82&gt;='⚙ Parámetros'!B23,"PRIORITARIO",IF(AJ82&gt;='⚙ Parámetros'!B24,"ALTA PRIORIDAD",IF(AJ82&gt;='⚙ Parámetros'!B25,"PRIORIDAD MEDIA",IF(AJ82&gt;='⚙ Parámetros'!B26,"BAJA PRIORIDAD","DESCARTAR")))))</f>
        <v>BAJA PRIORIDAD</v>
      </c>
      <c r="AL82" s="69" t="str">
        <f t="shared" si="5"/>
        <v>—</v>
      </c>
      <c r="AM82" s="85">
        <v>35</v>
      </c>
      <c r="AN82" s="83" t="str">
        <f>IF(AM82="","—",IF(AM82&lt;'⚙ Parámetros'!B29,"🟢 Corto",IF(AM82&lt;'⚙ Parámetros'!B30,"🟡 Medio","🔴 Largo")))</f>
        <v>🟡 Medio</v>
      </c>
    </row>
    <row r="83" spans="1:40" ht="18.75" customHeight="1" x14ac:dyDescent="0.25">
      <c r="A83" s="69">
        <v>79</v>
      </c>
      <c r="B83" s="70" t="s">
        <v>293</v>
      </c>
      <c r="C83" s="4" t="s">
        <v>182</v>
      </c>
      <c r="D83" s="71" t="s">
        <v>139</v>
      </c>
      <c r="E83" s="72" t="s">
        <v>294</v>
      </c>
      <c r="F83" s="74">
        <v>1</v>
      </c>
      <c r="G83" s="74">
        <v>1</v>
      </c>
      <c r="H83" s="74">
        <v>1</v>
      </c>
      <c r="I83" s="74">
        <v>1</v>
      </c>
      <c r="J83" s="74">
        <v>1</v>
      </c>
      <c r="K83" s="74">
        <v>1</v>
      </c>
      <c r="L83" s="75">
        <v>8</v>
      </c>
      <c r="M83" s="73">
        <v>3</v>
      </c>
      <c r="N83" s="73">
        <v>7</v>
      </c>
      <c r="O83" s="74">
        <v>1</v>
      </c>
      <c r="P83" s="74">
        <v>1</v>
      </c>
      <c r="Q83" s="74">
        <v>1</v>
      </c>
      <c r="R83" s="73">
        <v>5</v>
      </c>
      <c r="S83" s="73">
        <v>5</v>
      </c>
      <c r="T83" s="73">
        <v>5</v>
      </c>
      <c r="U83" s="73">
        <v>5</v>
      </c>
      <c r="V83" s="73">
        <v>5</v>
      </c>
      <c r="W83" s="73">
        <v>6</v>
      </c>
      <c r="X83" s="73">
        <v>6</v>
      </c>
      <c r="Y83" s="73">
        <v>4</v>
      </c>
      <c r="Z83" s="74">
        <v>2</v>
      </c>
      <c r="AA83" s="73">
        <v>5</v>
      </c>
      <c r="AB83" s="80">
        <f>IFERROR((30/100*MAX('⚙ Parámetros'!D15/(1+2^(-'⚙ Parámetros'!C15*(F83-'⚙ Parámetros'!B15))),'⚙ Parámetros'!G15/(1+2^(-'⚙ Parámetros'!F15*(F83-'⚙ Parámetros'!E15))),1)*F83+30/100*MAX('⚙ Parámetros'!D15/(1+2^(-'⚙ Parámetros'!C15*(G83-'⚙ Parámetros'!B15))),'⚙ Parámetros'!G15/(1+2^(-'⚙ Parámetros'!F15*(G83-'⚙ Parámetros'!E15))),1)*G83+20/100*MAX('⚙ Parámetros'!D15/(1+2^(-'⚙ Parámetros'!C15*(H83-'⚙ Parámetros'!B15))),'⚙ Parámetros'!G15/(1+2^(-'⚙ Parámetros'!F15*(H83-'⚙ Parámetros'!E15))),1)*H83+20/100*MAX('⚙ Parámetros'!D15/(1+2^(-'⚙ Parámetros'!C15*(I83-'⚙ Parámetros'!B15))),'⚙ Parámetros'!G15/(1+2^(-'⚙ Parámetros'!F15*(I83-'⚙ Parámetros'!E15))),1)*I83)/(30/100*MAX('⚙ Parámetros'!D15/(1+2^(-'⚙ Parámetros'!C15*(F83-'⚙ Parámetros'!B15))),'⚙ Parámetros'!G15/(1+2^(-'⚙ Parámetros'!F15*(F83-'⚙ Parámetros'!E15))),1)+30/100*MAX('⚙ Parámetros'!D15/(1+2^(-'⚙ Parámetros'!C15*(G83-'⚙ Parámetros'!B15))),'⚙ Parámetros'!G15/(1+2^(-'⚙ Parámetros'!F15*(G83-'⚙ Parámetros'!E15))),1)+20/100*MAX('⚙ Parámetros'!D15/(1+2^(-'⚙ Parámetros'!C15*(H83-'⚙ Parámetros'!B15))),'⚙ Parámetros'!G15/(1+2^(-'⚙ Parámetros'!F15*(H83-'⚙ Parámetros'!E15))),1)+20/100*MAX('⚙ Parámetros'!D15/(1+2^(-'⚙ Parámetros'!C15*(I83-'⚙ Parámetros'!B15))),'⚙ Parámetros'!G15/(1+2^(-'⚙ Parámetros'!F15*(I83-'⚙ Parámetros'!E15))),1)),0)</f>
        <v>1</v>
      </c>
      <c r="AC83" s="80">
        <f>IFERROR((35/100*MAX('⚙ Parámetros'!D16/(1+2^(-'⚙ Parámetros'!C16*(J83-'⚙ Parámetros'!B16))),'⚙ Parámetros'!G16/(1+2^(-'⚙ Parámetros'!F16*(J83-'⚙ Parámetros'!E16))),1)*J83+25/100*MAX('⚙ Parámetros'!D16/(1+2^(-'⚙ Parámetros'!C16*(K83-'⚙ Parámetros'!B16))),'⚙ Parámetros'!G16/(1+2^(-'⚙ Parámetros'!F16*(K83-'⚙ Parámetros'!E16))),1)*K83+20/100*MAX('⚙ Parámetros'!D16/(1+2^(-'⚙ Parámetros'!C16*(L83-'⚙ Parámetros'!B16))),'⚙ Parámetros'!G16/(1+2^(-'⚙ Parámetros'!F16*(L83-'⚙ Parámetros'!E16))),1)*L83+20/100*MAX('⚙ Parámetros'!D16/(1+2^(-'⚙ Parámetros'!C16*(M83-'⚙ Parámetros'!B16))),'⚙ Parámetros'!G16/(1+2^(-'⚙ Parámetros'!F16*(M83-'⚙ Parámetros'!E16))),1)*M83)/(35/100*MAX('⚙ Parámetros'!D16/(1+2^(-'⚙ Parámetros'!C16*(J83-'⚙ Parámetros'!B16))),'⚙ Parámetros'!G16/(1+2^(-'⚙ Parámetros'!F16*(J83-'⚙ Parámetros'!E16))),1)+25/100*MAX('⚙ Parámetros'!D16/(1+2^(-'⚙ Parámetros'!C16*(K83-'⚙ Parámetros'!B16))),'⚙ Parámetros'!G16/(1+2^(-'⚙ Parámetros'!F16*(K83-'⚙ Parámetros'!E16))),1)+20/100*MAX('⚙ Parámetros'!D16/(1+2^(-'⚙ Parámetros'!C16*(L83-'⚙ Parámetros'!B16))),'⚙ Parámetros'!G16/(1+2^(-'⚙ Parámetros'!F16*(L83-'⚙ Parámetros'!E16))),1)+20/100*MAX('⚙ Parámetros'!D16/(1+2^(-'⚙ Parámetros'!C16*(M83-'⚙ Parámetros'!B16))),'⚙ Parámetros'!G16/(1+2^(-'⚙ Parámetros'!F16*(M83-'⚙ Parámetros'!E16))),1)),0)</f>
        <v>4.9411764705882355</v>
      </c>
      <c r="AD83" s="80">
        <f>IFERROR((30/100*MAX('⚙ Parámetros'!D17/(1+2^(-'⚙ Parámetros'!C17*(N83-'⚙ Parámetros'!B17))),'⚙ Parámetros'!G17/(1+2^(-'⚙ Parámetros'!F17*(N83-'⚙ Parámetros'!E17))),1)*N83+25/100*MAX('⚙ Parámetros'!D17/(1+2^(-'⚙ Parámetros'!C17*(O83-'⚙ Parámetros'!B17))),'⚙ Parámetros'!G17/(1+2^(-'⚙ Parámetros'!F17*(O83-'⚙ Parámetros'!E17))),1)*O83+25/100*MAX('⚙ Parámetros'!D17/(1+2^(-'⚙ Parámetros'!C17*(P83-'⚙ Parámetros'!B17))),'⚙ Parámetros'!G17/(1+2^(-'⚙ Parámetros'!F17*(P83-'⚙ Parámetros'!E17))),1)*P83+20/100*MAX('⚙ Parámetros'!D17/(1+2^(-'⚙ Parámetros'!C17*(Q83-'⚙ Parámetros'!B17))),'⚙ Parámetros'!G17/(1+2^(-'⚙ Parámetros'!F17*(Q83-'⚙ Parámetros'!E17))),1)*Q83)/(30/100*MAX('⚙ Parámetros'!D17/(1+2^(-'⚙ Parámetros'!C17*(N83-'⚙ Parámetros'!B17))),'⚙ Parámetros'!G17/(1+2^(-'⚙ Parámetros'!F17*(N83-'⚙ Parámetros'!E17))),1)+25/100*MAX('⚙ Parámetros'!D17/(1+2^(-'⚙ Parámetros'!C17*(O83-'⚙ Parámetros'!B17))),'⚙ Parámetros'!G17/(1+2^(-'⚙ Parámetros'!F17*(O83-'⚙ Parámetros'!E17))),1)+25/100*MAX('⚙ Parámetros'!D17/(1+2^(-'⚙ Parámetros'!C17*(P83-'⚙ Parámetros'!B17))),'⚙ Parámetros'!G17/(1+2^(-'⚙ Parámetros'!F17*(P83-'⚙ Parámetros'!E17))),1)+20/100*MAX('⚙ Parámetros'!D17/(1+2^(-'⚙ Parámetros'!C17*(Q83-'⚙ Parámetros'!B17))),'⚙ Parámetros'!G17/(1+2^(-'⚙ Parámetros'!F17*(Q83-'⚙ Parámetros'!E17))),1)),0)</f>
        <v>4.2</v>
      </c>
      <c r="AE83" s="80">
        <f>IFERROR((30/100*MAX('⚙ Parámetros'!D18/(1+2^(-'⚙ Parámetros'!C18*(R83-'⚙ Parámetros'!B18))),'⚙ Parámetros'!G18/(1+2^(-'⚙ Parámetros'!F18*(R83-'⚙ Parámetros'!E18))),1)*R83+30/100*MAX('⚙ Parámetros'!D18/(1+2^(-'⚙ Parámetros'!C18*(S83-'⚙ Parámetros'!B18))),'⚙ Parámetros'!G18/(1+2^(-'⚙ Parámetros'!F18*(S83-'⚙ Parámetros'!E18))),1)*S83+20/100*MAX('⚙ Parámetros'!D18/(1+2^(-'⚙ Parámetros'!C18*(T83-'⚙ Parámetros'!B18))),'⚙ Parámetros'!G18/(1+2^(-'⚙ Parámetros'!F18*(T83-'⚙ Parámetros'!E18))),1)*T83+20/100*MAX('⚙ Parámetros'!D18/(1+2^(-'⚙ Parámetros'!C18*(U83-'⚙ Parámetros'!B18))),'⚙ Parámetros'!G18/(1+2^(-'⚙ Parámetros'!F18*(U83-'⚙ Parámetros'!E18))),1)*U83)/(30/100*MAX('⚙ Parámetros'!D18/(1+2^(-'⚙ Parámetros'!C18*(R83-'⚙ Parámetros'!B18))),'⚙ Parámetros'!G18/(1+2^(-'⚙ Parámetros'!F18*(R83-'⚙ Parámetros'!E18))),1)+30/100*MAX('⚙ Parámetros'!D18/(1+2^(-'⚙ Parámetros'!C18*(S83-'⚙ Parámetros'!B18))),'⚙ Parámetros'!G18/(1+2^(-'⚙ Parámetros'!F18*(S83-'⚙ Parámetros'!E18))),1)+20/100*MAX('⚙ Parámetros'!D18/(1+2^(-'⚙ Parámetros'!C18*(T83-'⚙ Parámetros'!B18))),'⚙ Parámetros'!G18/(1+2^(-'⚙ Parámetros'!F18*(T83-'⚙ Parámetros'!E18))),1)+20/100*MAX('⚙ Parámetros'!D18/(1+2^(-'⚙ Parámetros'!C18*(U83-'⚙ Parámetros'!B18))),'⚙ Parámetros'!G18/(1+2^(-'⚙ Parámetros'!F18*(U83-'⚙ Parámetros'!E18))),1)),0)</f>
        <v>5</v>
      </c>
      <c r="AF83" s="80">
        <f>IFERROR((30/100*MAX('⚙ Parámetros'!D19/(1+2^(-'⚙ Parámetros'!C19*(V83-'⚙ Parámetros'!B19))),'⚙ Parámetros'!G19/(1+2^(-'⚙ Parámetros'!F19*(V83-'⚙ Parámetros'!E19))),1)*V83+35/100*MAX('⚙ Parámetros'!D19/(1+2^(-'⚙ Parámetros'!C19*(W83-'⚙ Parámetros'!B19))),'⚙ Parámetros'!G19/(1+2^(-'⚙ Parámetros'!F19*(W83-'⚙ Parámetros'!E19))),1)*W83+35/100*MAX('⚙ Parámetros'!D19/(1+2^(-'⚙ Parámetros'!C19*(X83-'⚙ Parámetros'!B19))),'⚙ Parámetros'!G19/(1+2^(-'⚙ Parámetros'!F19*(X83-'⚙ Parámetros'!E19))),1)*X83)/(30/100*MAX('⚙ Parámetros'!D19/(1+2^(-'⚙ Parámetros'!C19*(V83-'⚙ Parámetros'!B19))),'⚙ Parámetros'!G19/(1+2^(-'⚙ Parámetros'!F19*(V83-'⚙ Parámetros'!E19))),1)+35/100*MAX('⚙ Parámetros'!D19/(1+2^(-'⚙ Parámetros'!C19*(W83-'⚙ Parámetros'!B19))),'⚙ Parámetros'!G19/(1+2^(-'⚙ Parámetros'!F19*(W83-'⚙ Parámetros'!E19))),1)+35/100*MAX('⚙ Parámetros'!D19/(1+2^(-'⚙ Parámetros'!C19*(X83-'⚙ Parámetros'!B19))),'⚙ Parámetros'!G19/(1+2^(-'⚙ Parámetros'!F19*(X83-'⚙ Parámetros'!E19))),1)),0)</f>
        <v>5.7368421052631575</v>
      </c>
      <c r="AG83" s="80">
        <f>IFERROR((35/100*MAX('⚙ Parámetros'!D20/(1+2^(-'⚙ Parámetros'!C20*(Y83-'⚙ Parámetros'!B20))),'⚙ Parámetros'!G20/(1+2^(-'⚙ Parámetros'!F20*(Y83-'⚙ Parámetros'!E20))),1)*Y83+35/100*MAX('⚙ Parámetros'!D20/(1+2^(-'⚙ Parámetros'!C20*(Z83-'⚙ Parámetros'!B20))),'⚙ Parámetros'!G20/(1+2^(-'⚙ Parámetros'!F20*(Z83-'⚙ Parámetros'!E20))),1)*Z83+30/100*MAX('⚙ Parámetros'!D20/(1+2^(-'⚙ Parámetros'!C20*(AA83-'⚙ Parámetros'!B20))),'⚙ Parámetros'!G20/(1+2^(-'⚙ Parámetros'!F20*(AA83-'⚙ Parámetros'!E20))),1)*AA83)/(35/100*MAX('⚙ Parámetros'!D20/(1+2^(-'⚙ Parámetros'!C20*(Y83-'⚙ Parámetros'!B20))),'⚙ Parámetros'!G20/(1+2^(-'⚙ Parámetros'!F20*(Y83-'⚙ Parámetros'!E20))),1)+35/100*MAX('⚙ Parámetros'!D20/(1+2^(-'⚙ Parámetros'!C20*(Z83-'⚙ Parámetros'!B20))),'⚙ Parámetros'!G20/(1+2^(-'⚙ Parámetros'!F20*(Z83-'⚙ Parámetros'!E20))),1)+30/100*MAX('⚙ Parámetros'!D20/(1+2^(-'⚙ Parámetros'!C20*(AA83-'⚙ Parámetros'!B20))),'⚙ Parámetros'!G20/(1+2^(-'⚙ Parámetros'!F20*(AA83-'⚙ Parámetros'!E20))),1)),0)</f>
        <v>3.7272727272727275</v>
      </c>
      <c r="AH83" s="81">
        <f>('⚙ Parámetros'!B5/100*AB83+'⚙ Parámetros'!B6/100*AC83+'⚙ Parámetros'!B7/100*AD83+'⚙ Parámetros'!B8/100*AE83+'⚙ Parámetros'!B9/100*AF83+'⚙ Parámetros'!B10/100*AG83)</f>
        <v>3.6001013228257812</v>
      </c>
      <c r="AI83" s="33">
        <f ca="1">MIN(1+MAX(0,TODAY()-DATE(2025,10,10))/365*'⚙ Parámetros'!B33,'⚙ Parámetros'!B34)</f>
        <v>1.1006849315068492</v>
      </c>
      <c r="AJ83" s="82">
        <f t="shared" ca="1" si="4"/>
        <v>3.9625772779322124</v>
      </c>
      <c r="AK83" s="83" t="str">
        <f ca="1">IF(AB83&gt;='⚙ Parámetros'!B23,"⚑ AUTO-PRIOR.(D1≥8)",IF(AJ83&gt;='⚙ Parámetros'!B23,"PRIORITARIO",IF(AJ83&gt;='⚙ Parámetros'!B24,"ALTA PRIORIDAD",IF(AJ83&gt;='⚙ Parámetros'!B25,"PRIORIDAD MEDIA",IF(AJ83&gt;='⚙ Parámetros'!B26,"BAJA PRIORIDAD","DESCARTAR")))))</f>
        <v>DESCARTAR</v>
      </c>
      <c r="AL83" s="84" t="str">
        <f t="shared" si="5"/>
        <v>—</v>
      </c>
      <c r="AM83" s="85">
        <v>38</v>
      </c>
      <c r="AN83" s="83" t="str">
        <f>IF(AM83="","—",IF(AM83&lt;'⚙ Parámetros'!B29,"🟢 Corto",IF(AM83&lt;'⚙ Parámetros'!B30,"🟡 Medio","🔴 Largo")))</f>
        <v>🟡 Medio</v>
      </c>
    </row>
    <row r="84" spans="1:40" ht="18.75" customHeight="1" x14ac:dyDescent="0.25">
      <c r="A84" s="69">
        <v>80</v>
      </c>
      <c r="B84" s="30" t="s">
        <v>295</v>
      </c>
      <c r="C84" s="26" t="s">
        <v>239</v>
      </c>
      <c r="D84" s="71" t="s">
        <v>136</v>
      </c>
      <c r="E84" s="72" t="s">
        <v>296</v>
      </c>
      <c r="F84" s="74">
        <v>1</v>
      </c>
      <c r="G84" s="74">
        <v>1</v>
      </c>
      <c r="H84" s="74">
        <v>1</v>
      </c>
      <c r="I84" s="74">
        <v>1</v>
      </c>
      <c r="J84" s="74">
        <v>1</v>
      </c>
      <c r="K84" s="74">
        <v>1</v>
      </c>
      <c r="L84" s="75">
        <v>8</v>
      </c>
      <c r="M84" s="86">
        <v>3</v>
      </c>
      <c r="N84" s="86">
        <v>7</v>
      </c>
      <c r="O84" s="74">
        <v>1</v>
      </c>
      <c r="P84" s="74">
        <v>1</v>
      </c>
      <c r="Q84" s="74">
        <v>1</v>
      </c>
      <c r="R84" s="86">
        <v>5</v>
      </c>
      <c r="S84" s="86">
        <v>5</v>
      </c>
      <c r="T84" s="86">
        <v>5</v>
      </c>
      <c r="U84" s="86">
        <v>5</v>
      </c>
      <c r="V84" s="86">
        <v>5</v>
      </c>
      <c r="W84" s="86">
        <v>6</v>
      </c>
      <c r="X84" s="86">
        <v>6</v>
      </c>
      <c r="Y84" s="86">
        <v>4</v>
      </c>
      <c r="Z84" s="74">
        <v>2</v>
      </c>
      <c r="AA84" s="86">
        <v>5</v>
      </c>
      <c r="AB84" s="89">
        <f>IFERROR((30/100*MAX('⚙ Parámetros'!D15/(1+2^(-'⚙ Parámetros'!C15*(F84-'⚙ Parámetros'!B15))),'⚙ Parámetros'!G15/(1+2^(-'⚙ Parámetros'!F15*(F84-'⚙ Parámetros'!E15))),1)*F84+30/100*MAX('⚙ Parámetros'!D15/(1+2^(-'⚙ Parámetros'!C15*(G84-'⚙ Parámetros'!B15))),'⚙ Parámetros'!G15/(1+2^(-'⚙ Parámetros'!F15*(G84-'⚙ Parámetros'!E15))),1)*G84+20/100*MAX('⚙ Parámetros'!D15/(1+2^(-'⚙ Parámetros'!C15*(H84-'⚙ Parámetros'!B15))),'⚙ Parámetros'!G15/(1+2^(-'⚙ Parámetros'!F15*(H84-'⚙ Parámetros'!E15))),1)*H84+20/100*MAX('⚙ Parámetros'!D15/(1+2^(-'⚙ Parámetros'!C15*(I84-'⚙ Parámetros'!B15))),'⚙ Parámetros'!G15/(1+2^(-'⚙ Parámetros'!F15*(I84-'⚙ Parámetros'!E15))),1)*I84)/(30/100*MAX('⚙ Parámetros'!D15/(1+2^(-'⚙ Parámetros'!C15*(F84-'⚙ Parámetros'!B15))),'⚙ Parámetros'!G15/(1+2^(-'⚙ Parámetros'!F15*(F84-'⚙ Parámetros'!E15))),1)+30/100*MAX('⚙ Parámetros'!D15/(1+2^(-'⚙ Parámetros'!C15*(G84-'⚙ Parámetros'!B15))),'⚙ Parámetros'!G15/(1+2^(-'⚙ Parámetros'!F15*(G84-'⚙ Parámetros'!E15))),1)+20/100*MAX('⚙ Parámetros'!D15/(1+2^(-'⚙ Parámetros'!C15*(H84-'⚙ Parámetros'!B15))),'⚙ Parámetros'!G15/(1+2^(-'⚙ Parámetros'!F15*(H84-'⚙ Parámetros'!E15))),1)+20/100*MAX('⚙ Parámetros'!D15/(1+2^(-'⚙ Parámetros'!C15*(I84-'⚙ Parámetros'!B15))),'⚙ Parámetros'!G15/(1+2^(-'⚙ Parámetros'!F15*(I84-'⚙ Parámetros'!E15))),1)),0)</f>
        <v>1</v>
      </c>
      <c r="AC84" s="89">
        <f>IFERROR((35/100*MAX('⚙ Parámetros'!D16/(1+2^(-'⚙ Parámetros'!C16*(J84-'⚙ Parámetros'!B16))),'⚙ Parámetros'!G16/(1+2^(-'⚙ Parámetros'!F16*(J84-'⚙ Parámetros'!E16))),1)*J84+25/100*MAX('⚙ Parámetros'!D16/(1+2^(-'⚙ Parámetros'!C16*(K84-'⚙ Parámetros'!B16))),'⚙ Parámetros'!G16/(1+2^(-'⚙ Parámetros'!F16*(K84-'⚙ Parámetros'!E16))),1)*K84+20/100*MAX('⚙ Parámetros'!D16/(1+2^(-'⚙ Parámetros'!C16*(L84-'⚙ Parámetros'!B16))),'⚙ Parámetros'!G16/(1+2^(-'⚙ Parámetros'!F16*(L84-'⚙ Parámetros'!E16))),1)*L84+20/100*MAX('⚙ Parámetros'!D16/(1+2^(-'⚙ Parámetros'!C16*(M84-'⚙ Parámetros'!B16))),'⚙ Parámetros'!G16/(1+2^(-'⚙ Parámetros'!F16*(M84-'⚙ Parámetros'!E16))),1)*M84)/(35/100*MAX('⚙ Parámetros'!D16/(1+2^(-'⚙ Parámetros'!C16*(J84-'⚙ Parámetros'!B16))),'⚙ Parámetros'!G16/(1+2^(-'⚙ Parámetros'!F16*(J84-'⚙ Parámetros'!E16))),1)+25/100*MAX('⚙ Parámetros'!D16/(1+2^(-'⚙ Parámetros'!C16*(K84-'⚙ Parámetros'!B16))),'⚙ Parámetros'!G16/(1+2^(-'⚙ Parámetros'!F16*(K84-'⚙ Parámetros'!E16))),1)+20/100*MAX('⚙ Parámetros'!D16/(1+2^(-'⚙ Parámetros'!C16*(L84-'⚙ Parámetros'!B16))),'⚙ Parámetros'!G16/(1+2^(-'⚙ Parámetros'!F16*(L84-'⚙ Parámetros'!E16))),1)+20/100*MAX('⚙ Parámetros'!D16/(1+2^(-'⚙ Parámetros'!C16*(M84-'⚙ Parámetros'!B16))),'⚙ Parámetros'!G16/(1+2^(-'⚙ Parámetros'!F16*(M84-'⚙ Parámetros'!E16))),1)),0)</f>
        <v>4.9411764705882355</v>
      </c>
      <c r="AD84" s="89">
        <f>IFERROR((30/100*MAX('⚙ Parámetros'!D17/(1+2^(-'⚙ Parámetros'!C17*(N84-'⚙ Parámetros'!B17))),'⚙ Parámetros'!G17/(1+2^(-'⚙ Parámetros'!F17*(N84-'⚙ Parámetros'!E17))),1)*N84+25/100*MAX('⚙ Parámetros'!D17/(1+2^(-'⚙ Parámetros'!C17*(O84-'⚙ Parámetros'!B17))),'⚙ Parámetros'!G17/(1+2^(-'⚙ Parámetros'!F17*(O84-'⚙ Parámetros'!E17))),1)*O84+25/100*MAX('⚙ Parámetros'!D17/(1+2^(-'⚙ Parámetros'!C17*(P84-'⚙ Parámetros'!B17))),'⚙ Parámetros'!G17/(1+2^(-'⚙ Parámetros'!F17*(P84-'⚙ Parámetros'!E17))),1)*P84+20/100*MAX('⚙ Parámetros'!D17/(1+2^(-'⚙ Parámetros'!C17*(Q84-'⚙ Parámetros'!B17))),'⚙ Parámetros'!G17/(1+2^(-'⚙ Parámetros'!F17*(Q84-'⚙ Parámetros'!E17))),1)*Q84)/(30/100*MAX('⚙ Parámetros'!D17/(1+2^(-'⚙ Parámetros'!C17*(N84-'⚙ Parámetros'!B17))),'⚙ Parámetros'!G17/(1+2^(-'⚙ Parámetros'!F17*(N84-'⚙ Parámetros'!E17))),1)+25/100*MAX('⚙ Parámetros'!D17/(1+2^(-'⚙ Parámetros'!C17*(O84-'⚙ Parámetros'!B17))),'⚙ Parámetros'!G17/(1+2^(-'⚙ Parámetros'!F17*(O84-'⚙ Parámetros'!E17))),1)+25/100*MAX('⚙ Parámetros'!D17/(1+2^(-'⚙ Parámetros'!C17*(P84-'⚙ Parámetros'!B17))),'⚙ Parámetros'!G17/(1+2^(-'⚙ Parámetros'!F17*(P84-'⚙ Parámetros'!E17))),1)+20/100*MAX('⚙ Parámetros'!D17/(1+2^(-'⚙ Parámetros'!C17*(Q84-'⚙ Parámetros'!B17))),'⚙ Parámetros'!G17/(1+2^(-'⚙ Parámetros'!F17*(Q84-'⚙ Parámetros'!E17))),1)),0)</f>
        <v>4.2</v>
      </c>
      <c r="AE84" s="89">
        <f>IFERROR((30/100*MAX('⚙ Parámetros'!D18/(1+2^(-'⚙ Parámetros'!C18*(R84-'⚙ Parámetros'!B18))),'⚙ Parámetros'!G18/(1+2^(-'⚙ Parámetros'!F18*(R84-'⚙ Parámetros'!E18))),1)*R84+30/100*MAX('⚙ Parámetros'!D18/(1+2^(-'⚙ Parámetros'!C18*(S84-'⚙ Parámetros'!B18))),'⚙ Parámetros'!G18/(1+2^(-'⚙ Parámetros'!F18*(S84-'⚙ Parámetros'!E18))),1)*S84+20/100*MAX('⚙ Parámetros'!D18/(1+2^(-'⚙ Parámetros'!C18*(T84-'⚙ Parámetros'!B18))),'⚙ Parámetros'!G18/(1+2^(-'⚙ Parámetros'!F18*(T84-'⚙ Parámetros'!E18))),1)*T84+20/100*MAX('⚙ Parámetros'!D18/(1+2^(-'⚙ Parámetros'!C18*(U84-'⚙ Parámetros'!B18))),'⚙ Parámetros'!G18/(1+2^(-'⚙ Parámetros'!F18*(U84-'⚙ Parámetros'!E18))),1)*U84)/(30/100*MAX('⚙ Parámetros'!D18/(1+2^(-'⚙ Parámetros'!C18*(R84-'⚙ Parámetros'!B18))),'⚙ Parámetros'!G18/(1+2^(-'⚙ Parámetros'!F18*(R84-'⚙ Parámetros'!E18))),1)+30/100*MAX('⚙ Parámetros'!D18/(1+2^(-'⚙ Parámetros'!C18*(S84-'⚙ Parámetros'!B18))),'⚙ Parámetros'!G18/(1+2^(-'⚙ Parámetros'!F18*(S84-'⚙ Parámetros'!E18))),1)+20/100*MAX('⚙ Parámetros'!D18/(1+2^(-'⚙ Parámetros'!C18*(T84-'⚙ Parámetros'!B18))),'⚙ Parámetros'!G18/(1+2^(-'⚙ Parámetros'!F18*(T84-'⚙ Parámetros'!E18))),1)+20/100*MAX('⚙ Parámetros'!D18/(1+2^(-'⚙ Parámetros'!C18*(U84-'⚙ Parámetros'!B18))),'⚙ Parámetros'!G18/(1+2^(-'⚙ Parámetros'!F18*(U84-'⚙ Parámetros'!E18))),1)),0)</f>
        <v>5</v>
      </c>
      <c r="AF84" s="89">
        <f>IFERROR((30/100*MAX('⚙ Parámetros'!D19/(1+2^(-'⚙ Parámetros'!C19*(V84-'⚙ Parámetros'!B19))),'⚙ Parámetros'!G19/(1+2^(-'⚙ Parámetros'!F19*(V84-'⚙ Parámetros'!E19))),1)*V84+35/100*MAX('⚙ Parámetros'!D19/(1+2^(-'⚙ Parámetros'!C19*(W84-'⚙ Parámetros'!B19))),'⚙ Parámetros'!G19/(1+2^(-'⚙ Parámetros'!F19*(W84-'⚙ Parámetros'!E19))),1)*W84+35/100*MAX('⚙ Parámetros'!D19/(1+2^(-'⚙ Parámetros'!C19*(X84-'⚙ Parámetros'!B19))),'⚙ Parámetros'!G19/(1+2^(-'⚙ Parámetros'!F19*(X84-'⚙ Parámetros'!E19))),1)*X84)/(30/100*MAX('⚙ Parámetros'!D19/(1+2^(-'⚙ Parámetros'!C19*(V84-'⚙ Parámetros'!B19))),'⚙ Parámetros'!G19/(1+2^(-'⚙ Parámetros'!F19*(V84-'⚙ Parámetros'!E19))),1)+35/100*MAX('⚙ Parámetros'!D19/(1+2^(-'⚙ Parámetros'!C19*(W84-'⚙ Parámetros'!B19))),'⚙ Parámetros'!G19/(1+2^(-'⚙ Parámetros'!F19*(W84-'⚙ Parámetros'!E19))),1)+35/100*MAX('⚙ Parámetros'!D19/(1+2^(-'⚙ Parámetros'!C19*(X84-'⚙ Parámetros'!B19))),'⚙ Parámetros'!G19/(1+2^(-'⚙ Parámetros'!F19*(X84-'⚙ Parámetros'!E19))),1)),0)</f>
        <v>5.7368421052631575</v>
      </c>
      <c r="AG84" s="89">
        <f>IFERROR((35/100*MAX('⚙ Parámetros'!D20/(1+2^(-'⚙ Parámetros'!C20*(Y84-'⚙ Parámetros'!B20))),'⚙ Parámetros'!G20/(1+2^(-'⚙ Parámetros'!F20*(Y84-'⚙ Parámetros'!E20))),1)*Y84+35/100*MAX('⚙ Parámetros'!D20/(1+2^(-'⚙ Parámetros'!C20*(Z84-'⚙ Parámetros'!B20))),'⚙ Parámetros'!G20/(1+2^(-'⚙ Parámetros'!F20*(Z84-'⚙ Parámetros'!E20))),1)*Z84+30/100*MAX('⚙ Parámetros'!D20/(1+2^(-'⚙ Parámetros'!C20*(AA84-'⚙ Parámetros'!B20))),'⚙ Parámetros'!G20/(1+2^(-'⚙ Parámetros'!F20*(AA84-'⚙ Parámetros'!E20))),1)*AA84)/(35/100*MAX('⚙ Parámetros'!D20/(1+2^(-'⚙ Parámetros'!C20*(Y84-'⚙ Parámetros'!B20))),'⚙ Parámetros'!G20/(1+2^(-'⚙ Parámetros'!F20*(Y84-'⚙ Parámetros'!E20))),1)+35/100*MAX('⚙ Parámetros'!D20/(1+2^(-'⚙ Parámetros'!C20*(Z84-'⚙ Parámetros'!B20))),'⚙ Parámetros'!G20/(1+2^(-'⚙ Parámetros'!F20*(Z84-'⚙ Parámetros'!E20))),1)+30/100*MAX('⚙ Parámetros'!D20/(1+2^(-'⚙ Parámetros'!C20*(AA84-'⚙ Parámetros'!B20))),'⚙ Parámetros'!G20/(1+2^(-'⚙ Parámetros'!F20*(AA84-'⚙ Parámetros'!E20))),1)),0)</f>
        <v>3.7272727272727275</v>
      </c>
      <c r="AH84" s="90">
        <f>('⚙ Parámetros'!B5/100*AB84+'⚙ Parámetros'!B6/100*AC84+'⚙ Parámetros'!B7/100*AD84+'⚙ Parámetros'!B8/100*AE84+'⚙ Parámetros'!B9/100*AF84+'⚙ Parámetros'!B10/100*AG84)</f>
        <v>3.6001013228257812</v>
      </c>
      <c r="AI84" s="91">
        <f ca="1">MIN(1+MAX(0,TODAY()-DATE(2025,7,2))/365*'⚙ Parámetros'!B33,'⚙ Parámetros'!B34)</f>
        <v>1.1417808219178083</v>
      </c>
      <c r="AJ84" s="82">
        <f t="shared" ca="1" si="4"/>
        <v>4.1105266473634092</v>
      </c>
      <c r="AK84" s="92" t="str">
        <f ca="1">IF(AB84&gt;='⚙ Parámetros'!B23,"⚑ AUTO-PRIOR.(D1≥8)",IF(AJ84&gt;='⚙ Parámetros'!B23,"PRIORITARIO",IF(AJ84&gt;='⚙ Parámetros'!B24,"ALTA PRIORIDAD",IF(AJ84&gt;='⚙ Parámetros'!B25,"PRIORIDAD MEDIA",IF(AJ84&gt;='⚙ Parámetros'!B26,"BAJA PRIORIDAD","DESCARTAR")))))</f>
        <v>BAJA PRIORIDAD</v>
      </c>
      <c r="AL84" s="69" t="str">
        <f t="shared" si="5"/>
        <v>—</v>
      </c>
      <c r="AM84" s="85">
        <v>34</v>
      </c>
      <c r="AN84" s="83" t="str">
        <f>IF(AM84="","—",IF(AM84&lt;'⚙ Parámetros'!B29,"🟢 Corto",IF(AM84&lt;'⚙ Parámetros'!B30,"🟡 Medio","🔴 Largo")))</f>
        <v>🟡 Medio</v>
      </c>
    </row>
    <row r="85" spans="1:40" ht="18.75" customHeight="1" x14ac:dyDescent="0.25">
      <c r="A85" s="69">
        <v>81</v>
      </c>
      <c r="B85" s="70" t="s">
        <v>297</v>
      </c>
      <c r="C85" s="4" t="s">
        <v>231</v>
      </c>
      <c r="D85" s="71" t="s">
        <v>298</v>
      </c>
      <c r="E85" s="72" t="s">
        <v>229</v>
      </c>
      <c r="F85" s="74">
        <v>1</v>
      </c>
      <c r="G85" s="74">
        <v>1</v>
      </c>
      <c r="H85" s="74">
        <v>1</v>
      </c>
      <c r="I85" s="74">
        <v>1</v>
      </c>
      <c r="J85" s="74">
        <v>1</v>
      </c>
      <c r="K85" s="74">
        <v>1</v>
      </c>
      <c r="L85" s="74">
        <v>1</v>
      </c>
      <c r="M85" s="73">
        <v>3</v>
      </c>
      <c r="N85" s="74">
        <v>1</v>
      </c>
      <c r="O85" s="73">
        <v>6</v>
      </c>
      <c r="P85" s="73">
        <v>6</v>
      </c>
      <c r="Q85" s="74">
        <v>1</v>
      </c>
      <c r="R85" s="76">
        <v>9</v>
      </c>
      <c r="S85" s="76">
        <v>9</v>
      </c>
      <c r="T85" s="73">
        <v>5</v>
      </c>
      <c r="U85" s="73">
        <v>5</v>
      </c>
      <c r="V85" s="77">
        <v>8</v>
      </c>
      <c r="W85" s="73">
        <v>6</v>
      </c>
      <c r="X85" s="77">
        <v>9</v>
      </c>
      <c r="Y85" s="73">
        <v>4</v>
      </c>
      <c r="Z85" s="74">
        <v>2</v>
      </c>
      <c r="AA85" s="73">
        <v>5</v>
      </c>
      <c r="AB85" s="80">
        <f>IFERROR((30/100*MAX('⚙ Parámetros'!D15/(1+2^(-'⚙ Parámetros'!C15*(F85-'⚙ Parámetros'!B15))),'⚙ Parámetros'!G15/(1+2^(-'⚙ Parámetros'!F15*(F85-'⚙ Parámetros'!E15))),1)*F85+30/100*MAX('⚙ Parámetros'!D15/(1+2^(-'⚙ Parámetros'!C15*(G85-'⚙ Parámetros'!B15))),'⚙ Parámetros'!G15/(1+2^(-'⚙ Parámetros'!F15*(G85-'⚙ Parámetros'!E15))),1)*G85+20/100*MAX('⚙ Parámetros'!D15/(1+2^(-'⚙ Parámetros'!C15*(H85-'⚙ Parámetros'!B15))),'⚙ Parámetros'!G15/(1+2^(-'⚙ Parámetros'!F15*(H85-'⚙ Parámetros'!E15))),1)*H85+20/100*MAX('⚙ Parámetros'!D15/(1+2^(-'⚙ Parámetros'!C15*(I85-'⚙ Parámetros'!B15))),'⚙ Parámetros'!G15/(1+2^(-'⚙ Parámetros'!F15*(I85-'⚙ Parámetros'!E15))),1)*I85)/(30/100*MAX('⚙ Parámetros'!D15/(1+2^(-'⚙ Parámetros'!C15*(F85-'⚙ Parámetros'!B15))),'⚙ Parámetros'!G15/(1+2^(-'⚙ Parámetros'!F15*(F85-'⚙ Parámetros'!E15))),1)+30/100*MAX('⚙ Parámetros'!D15/(1+2^(-'⚙ Parámetros'!C15*(G85-'⚙ Parámetros'!B15))),'⚙ Parámetros'!G15/(1+2^(-'⚙ Parámetros'!F15*(G85-'⚙ Parámetros'!E15))),1)+20/100*MAX('⚙ Parámetros'!D15/(1+2^(-'⚙ Parámetros'!C15*(H85-'⚙ Parámetros'!B15))),'⚙ Parámetros'!G15/(1+2^(-'⚙ Parámetros'!F15*(H85-'⚙ Parámetros'!E15))),1)+20/100*MAX('⚙ Parámetros'!D15/(1+2^(-'⚙ Parámetros'!C15*(I85-'⚙ Parámetros'!B15))),'⚙ Parámetros'!G15/(1+2^(-'⚙ Parámetros'!F15*(I85-'⚙ Parámetros'!E15))),1)),0)</f>
        <v>1</v>
      </c>
      <c r="AC85" s="80">
        <f>IFERROR((35/100*MAX('⚙ Parámetros'!D16/(1+2^(-'⚙ Parámetros'!C16*(J85-'⚙ Parámetros'!B16))),'⚙ Parámetros'!G16/(1+2^(-'⚙ Parámetros'!F16*(J85-'⚙ Parámetros'!E16))),1)*J85+25/100*MAX('⚙ Parámetros'!D16/(1+2^(-'⚙ Parámetros'!C16*(K85-'⚙ Parámetros'!B16))),'⚙ Parámetros'!G16/(1+2^(-'⚙ Parámetros'!F16*(K85-'⚙ Parámetros'!E16))),1)*K85+20/100*MAX('⚙ Parámetros'!D16/(1+2^(-'⚙ Parámetros'!C16*(L85-'⚙ Parámetros'!B16))),'⚙ Parámetros'!G16/(1+2^(-'⚙ Parámetros'!F16*(L85-'⚙ Parámetros'!E16))),1)*L85+20/100*MAX('⚙ Parámetros'!D16/(1+2^(-'⚙ Parámetros'!C16*(M85-'⚙ Parámetros'!B16))),'⚙ Parámetros'!G16/(1+2^(-'⚙ Parámetros'!F16*(M85-'⚙ Parámetros'!E16))),1)*M85)/(35/100*MAX('⚙ Parámetros'!D16/(1+2^(-'⚙ Parámetros'!C16*(J85-'⚙ Parámetros'!B16))),'⚙ Parámetros'!G16/(1+2^(-'⚙ Parámetros'!F16*(J85-'⚙ Parámetros'!E16))),1)+25/100*MAX('⚙ Parámetros'!D16/(1+2^(-'⚙ Parámetros'!C16*(K85-'⚙ Parámetros'!B16))),'⚙ Parámetros'!G16/(1+2^(-'⚙ Parámetros'!F16*(K85-'⚙ Parámetros'!E16))),1)+20/100*MAX('⚙ Parámetros'!D16/(1+2^(-'⚙ Parámetros'!C16*(L85-'⚙ Parámetros'!B16))),'⚙ Parámetros'!G16/(1+2^(-'⚙ Parámetros'!F16*(L85-'⚙ Parámetros'!E16))),1)+20/100*MAX('⚙ Parámetros'!D16/(1+2^(-'⚙ Parámetros'!C16*(M85-'⚙ Parámetros'!B16))),'⚙ Parámetros'!G16/(1+2^(-'⚙ Parámetros'!F16*(M85-'⚙ Parámetros'!E16))),1)),0)</f>
        <v>1.4000000000000001</v>
      </c>
      <c r="AD85" s="80">
        <f>IFERROR((30/100*MAX('⚙ Parámetros'!D17/(1+2^(-'⚙ Parámetros'!C17*(N85-'⚙ Parámetros'!B17))),'⚙ Parámetros'!G17/(1+2^(-'⚙ Parámetros'!F17*(N85-'⚙ Parámetros'!E17))),1)*N85+25/100*MAX('⚙ Parámetros'!D17/(1+2^(-'⚙ Parámetros'!C17*(O85-'⚙ Parámetros'!B17))),'⚙ Parámetros'!G17/(1+2^(-'⚙ Parámetros'!F17*(O85-'⚙ Parámetros'!E17))),1)*O85+25/100*MAX('⚙ Parámetros'!D17/(1+2^(-'⚙ Parámetros'!C17*(P85-'⚙ Parámetros'!B17))),'⚙ Parámetros'!G17/(1+2^(-'⚙ Parámetros'!F17*(P85-'⚙ Parámetros'!E17))),1)*P85+20/100*MAX('⚙ Parámetros'!D17/(1+2^(-'⚙ Parámetros'!C17*(Q85-'⚙ Parámetros'!B17))),'⚙ Parámetros'!G17/(1+2^(-'⚙ Parámetros'!F17*(Q85-'⚙ Parámetros'!E17))),1)*Q85)/(30/100*MAX('⚙ Parámetros'!D17/(1+2^(-'⚙ Parámetros'!C17*(N85-'⚙ Parámetros'!B17))),'⚙ Parámetros'!G17/(1+2^(-'⚙ Parámetros'!F17*(N85-'⚙ Parámetros'!E17))),1)+25/100*MAX('⚙ Parámetros'!D17/(1+2^(-'⚙ Parámetros'!C17*(O85-'⚙ Parámetros'!B17))),'⚙ Parámetros'!G17/(1+2^(-'⚙ Parámetros'!F17*(O85-'⚙ Parámetros'!E17))),1)+25/100*MAX('⚙ Parámetros'!D17/(1+2^(-'⚙ Parámetros'!C17*(P85-'⚙ Parámetros'!B17))),'⚙ Parámetros'!G17/(1+2^(-'⚙ Parámetros'!F17*(P85-'⚙ Parámetros'!E17))),1)+20/100*MAX('⚙ Parámetros'!D17/(1+2^(-'⚙ Parámetros'!C17*(Q85-'⚙ Parámetros'!B17))),'⚙ Parámetros'!G17/(1+2^(-'⚙ Parámetros'!F17*(Q85-'⚙ Parámetros'!E17))),1)),0)</f>
        <v>4.5294117647058822</v>
      </c>
      <c r="AE85" s="80">
        <f>IFERROR((30/100*MAX('⚙ Parámetros'!D18/(1+2^(-'⚙ Parámetros'!C18*(R85-'⚙ Parámetros'!B18))),'⚙ Parámetros'!G18/(1+2^(-'⚙ Parámetros'!F18*(R85-'⚙ Parámetros'!E18))),1)*R85+30/100*MAX('⚙ Parámetros'!D18/(1+2^(-'⚙ Parámetros'!C18*(S85-'⚙ Parámetros'!B18))),'⚙ Parámetros'!G18/(1+2^(-'⚙ Parámetros'!F18*(S85-'⚙ Parámetros'!E18))),1)*S85+20/100*MAX('⚙ Parámetros'!D18/(1+2^(-'⚙ Parámetros'!C18*(T85-'⚙ Parámetros'!B18))),'⚙ Parámetros'!G18/(1+2^(-'⚙ Parámetros'!F18*(T85-'⚙ Parámetros'!E18))),1)*T85+20/100*MAX('⚙ Parámetros'!D18/(1+2^(-'⚙ Parámetros'!C18*(U85-'⚙ Parámetros'!B18))),'⚙ Parámetros'!G18/(1+2^(-'⚙ Parámetros'!F18*(U85-'⚙ Parámetros'!E18))),1)*U85)/(30/100*MAX('⚙ Parámetros'!D18/(1+2^(-'⚙ Parámetros'!C18*(R85-'⚙ Parámetros'!B18))),'⚙ Parámetros'!G18/(1+2^(-'⚙ Parámetros'!F18*(R85-'⚙ Parámetros'!E18))),1)+30/100*MAX('⚙ Parámetros'!D18/(1+2^(-'⚙ Parámetros'!C18*(S85-'⚙ Parámetros'!B18))),'⚙ Parámetros'!G18/(1+2^(-'⚙ Parámetros'!F18*(S85-'⚙ Parámetros'!E18))),1)+20/100*MAX('⚙ Parámetros'!D18/(1+2^(-'⚙ Parámetros'!C18*(T85-'⚙ Parámetros'!B18))),'⚙ Parámetros'!G18/(1+2^(-'⚙ Parámetros'!F18*(T85-'⚙ Parámetros'!E18))),1)+20/100*MAX('⚙ Parámetros'!D18/(1+2^(-'⚙ Parámetros'!C18*(U85-'⚙ Parámetros'!B18))),'⚙ Parámetros'!G18/(1+2^(-'⚙ Parámetros'!F18*(U85-'⚙ Parámetros'!E18))),1)),0)</f>
        <v>8.1801060365339655</v>
      </c>
      <c r="AF85" s="80">
        <f>IFERROR((30/100*MAX('⚙ Parámetros'!D19/(1+2^(-'⚙ Parámetros'!C19*(V85-'⚙ Parámetros'!B19))),'⚙ Parámetros'!G19/(1+2^(-'⚙ Parámetros'!F19*(V85-'⚙ Parámetros'!E19))),1)*V85+35/100*MAX('⚙ Parámetros'!D19/(1+2^(-'⚙ Parámetros'!C19*(W85-'⚙ Parámetros'!B19))),'⚙ Parámetros'!G19/(1+2^(-'⚙ Parámetros'!F19*(W85-'⚙ Parámetros'!E19))),1)*W85+35/100*MAX('⚙ Parámetros'!D19/(1+2^(-'⚙ Parámetros'!C19*(X85-'⚙ Parámetros'!B19))),'⚙ Parámetros'!G19/(1+2^(-'⚙ Parámetros'!F19*(X85-'⚙ Parámetros'!E19))),1)*X85)/(30/100*MAX('⚙ Parámetros'!D19/(1+2^(-'⚙ Parámetros'!C19*(V85-'⚙ Parámetros'!B19))),'⚙ Parámetros'!G19/(1+2^(-'⚙ Parámetros'!F19*(V85-'⚙ Parámetros'!E19))),1)+35/100*MAX('⚙ Parámetros'!D19/(1+2^(-'⚙ Parámetros'!C19*(W85-'⚙ Parámetros'!B19))),'⚙ Parámetros'!G19/(1+2^(-'⚙ Parámetros'!F19*(W85-'⚙ Parámetros'!E19))),1)+35/100*MAX('⚙ Parámetros'!D19/(1+2^(-'⚙ Parámetros'!C19*(X85-'⚙ Parámetros'!B19))),'⚙ Parámetros'!G19/(1+2^(-'⚙ Parámetros'!F19*(X85-'⚙ Parámetros'!E19))),1)),0)</f>
        <v>8.0351483057098907</v>
      </c>
      <c r="AG85" s="80">
        <f>IFERROR((35/100*MAX('⚙ Parámetros'!D20/(1+2^(-'⚙ Parámetros'!C20*(Y85-'⚙ Parámetros'!B20))),'⚙ Parámetros'!G20/(1+2^(-'⚙ Parámetros'!F20*(Y85-'⚙ Parámetros'!E20))),1)*Y85+35/100*MAX('⚙ Parámetros'!D20/(1+2^(-'⚙ Parámetros'!C20*(Z85-'⚙ Parámetros'!B20))),'⚙ Parámetros'!G20/(1+2^(-'⚙ Parámetros'!F20*(Z85-'⚙ Parámetros'!E20))),1)*Z85+30/100*MAX('⚙ Parámetros'!D20/(1+2^(-'⚙ Parámetros'!C20*(AA85-'⚙ Parámetros'!B20))),'⚙ Parámetros'!G20/(1+2^(-'⚙ Parámetros'!F20*(AA85-'⚙ Parámetros'!E20))),1)*AA85)/(35/100*MAX('⚙ Parámetros'!D20/(1+2^(-'⚙ Parámetros'!C20*(Y85-'⚙ Parámetros'!B20))),'⚙ Parámetros'!G20/(1+2^(-'⚙ Parámetros'!F20*(Y85-'⚙ Parámetros'!E20))),1)+35/100*MAX('⚙ Parámetros'!D20/(1+2^(-'⚙ Parámetros'!C20*(Z85-'⚙ Parámetros'!B20))),'⚙ Parámetros'!G20/(1+2^(-'⚙ Parámetros'!F20*(Z85-'⚙ Parámetros'!E20))),1)+30/100*MAX('⚙ Parámetros'!D20/(1+2^(-'⚙ Parámetros'!C20*(AA85-'⚙ Parámetros'!B20))),'⚙ Parámetros'!G20/(1+2^(-'⚙ Parámetros'!F20*(AA85-'⚙ Parámetros'!E20))),1)),0)</f>
        <v>3.7272727272727275</v>
      </c>
      <c r="AH85" s="81">
        <f>('⚙ Parámetros'!B5/100*AB85+'⚙ Parámetros'!B6/100*AC85+'⚙ Parámetros'!B7/100*AD85+'⚙ Parámetros'!B8/100*AE85+'⚙ Parámetros'!B9/100*AF85+'⚙ Parámetros'!B10/100*AG85)</f>
        <v>3.5691917260780599</v>
      </c>
      <c r="AI85" s="33">
        <f ca="1">MIN(1+MAX(0,TODAY()-DATE(2026,2,23))/365*'⚙ Parámetros'!B33,'⚙ Parámetros'!B34)</f>
        <v>1.0447945205479452</v>
      </c>
      <c r="AJ85" s="82">
        <f t="shared" ca="1" si="4"/>
        <v>3.7290719581914193</v>
      </c>
      <c r="AK85" s="83" t="str">
        <f ca="1">IF(AB85&gt;='⚙ Parámetros'!B23,"⚑ AUTO-PRIOR.(D1≥8)",IF(AJ85&gt;='⚙ Parámetros'!B23,"PRIORITARIO",IF(AJ85&gt;='⚙ Parámetros'!B24,"ALTA PRIORIDAD",IF(AJ85&gt;='⚙ Parámetros'!B25,"PRIORIDAD MEDIA",IF(AJ85&gt;='⚙ Parámetros'!B26,"BAJA PRIORIDAD","DESCARTAR")))))</f>
        <v>DESCARTAR</v>
      </c>
      <c r="AL85" s="84" t="str">
        <f t="shared" si="5"/>
        <v>—</v>
      </c>
      <c r="AM85" s="85">
        <v>46</v>
      </c>
      <c r="AN85" s="83" t="str">
        <f>IF(AM85="","—",IF(AM85&lt;'⚙ Parámetros'!B29,"🟢 Corto",IF(AM85&lt;'⚙ Parámetros'!B30,"🟡 Medio","🔴 Largo")))</f>
        <v>🟡 Medio</v>
      </c>
    </row>
    <row r="86" spans="1:40" ht="18.75" customHeight="1" x14ac:dyDescent="0.25">
      <c r="A86" s="69">
        <v>82</v>
      </c>
      <c r="B86" s="30" t="s">
        <v>299</v>
      </c>
      <c r="C86" s="26" t="s">
        <v>131</v>
      </c>
      <c r="D86" s="71" t="s">
        <v>167</v>
      </c>
      <c r="E86" s="72" t="s">
        <v>300</v>
      </c>
      <c r="F86" s="74">
        <v>1</v>
      </c>
      <c r="G86" s="74">
        <v>1</v>
      </c>
      <c r="H86" s="86">
        <v>5</v>
      </c>
      <c r="I86" s="74">
        <v>1</v>
      </c>
      <c r="J86" s="74">
        <v>1</v>
      </c>
      <c r="K86" s="74">
        <v>1</v>
      </c>
      <c r="L86" s="74">
        <v>1</v>
      </c>
      <c r="M86" s="86">
        <v>3</v>
      </c>
      <c r="N86" s="74">
        <v>1</v>
      </c>
      <c r="O86" s="87">
        <v>8</v>
      </c>
      <c r="P86" s="74">
        <v>1</v>
      </c>
      <c r="Q86" s="86">
        <v>6</v>
      </c>
      <c r="R86" s="86">
        <v>6</v>
      </c>
      <c r="S86" s="86">
        <v>6</v>
      </c>
      <c r="T86" s="86">
        <v>5</v>
      </c>
      <c r="U86" s="86">
        <v>5</v>
      </c>
      <c r="V86" s="86">
        <v>5</v>
      </c>
      <c r="W86" s="86">
        <v>4</v>
      </c>
      <c r="X86" s="86">
        <v>5</v>
      </c>
      <c r="Y86" s="86">
        <v>4</v>
      </c>
      <c r="Z86" s="74">
        <v>2</v>
      </c>
      <c r="AA86" s="86">
        <v>5</v>
      </c>
      <c r="AB86" s="89">
        <f>IFERROR((30/100*MAX('⚙ Parámetros'!D15/(1+2^(-'⚙ Parámetros'!C15*(F86-'⚙ Parámetros'!B15))),'⚙ Parámetros'!G15/(1+2^(-'⚙ Parámetros'!F15*(F86-'⚙ Parámetros'!E15))),1)*F86+30/100*MAX('⚙ Parámetros'!D15/(1+2^(-'⚙ Parámetros'!C15*(G86-'⚙ Parámetros'!B15))),'⚙ Parámetros'!G15/(1+2^(-'⚙ Parámetros'!F15*(G86-'⚙ Parámetros'!E15))),1)*G86+20/100*MAX('⚙ Parámetros'!D15/(1+2^(-'⚙ Parámetros'!C15*(H86-'⚙ Parámetros'!B15))),'⚙ Parámetros'!G15/(1+2^(-'⚙ Parámetros'!F15*(H86-'⚙ Parámetros'!E15))),1)*H86+20/100*MAX('⚙ Parámetros'!D15/(1+2^(-'⚙ Parámetros'!C15*(I86-'⚙ Parámetros'!B15))),'⚙ Parámetros'!G15/(1+2^(-'⚙ Parámetros'!F15*(I86-'⚙ Parámetros'!E15))),1)*I86)/(30/100*MAX('⚙ Parámetros'!D15/(1+2^(-'⚙ Parámetros'!C15*(F86-'⚙ Parámetros'!B15))),'⚙ Parámetros'!G15/(1+2^(-'⚙ Parámetros'!F15*(F86-'⚙ Parámetros'!E15))),1)+30/100*MAX('⚙ Parámetros'!D15/(1+2^(-'⚙ Parámetros'!C15*(G86-'⚙ Parámetros'!B15))),'⚙ Parámetros'!G15/(1+2^(-'⚙ Parámetros'!F15*(G86-'⚙ Parámetros'!E15))),1)+20/100*MAX('⚙ Parámetros'!D15/(1+2^(-'⚙ Parámetros'!C15*(H86-'⚙ Parámetros'!B15))),'⚙ Parámetros'!G15/(1+2^(-'⚙ Parámetros'!F15*(H86-'⚙ Parámetros'!E15))),1)+20/100*MAX('⚙ Parámetros'!D15/(1+2^(-'⚙ Parámetros'!C15*(I86-'⚙ Parámetros'!B15))),'⚙ Parámetros'!G15/(1+2^(-'⚙ Parámetros'!F15*(I86-'⚙ Parámetros'!E15))),1)),0)</f>
        <v>2.1428571428571428</v>
      </c>
      <c r="AC86" s="89">
        <f>IFERROR((35/100*MAX('⚙ Parámetros'!D16/(1+2^(-'⚙ Parámetros'!C16*(J86-'⚙ Parámetros'!B16))),'⚙ Parámetros'!G16/(1+2^(-'⚙ Parámetros'!F16*(J86-'⚙ Parámetros'!E16))),1)*J86+25/100*MAX('⚙ Parámetros'!D16/(1+2^(-'⚙ Parámetros'!C16*(K86-'⚙ Parámetros'!B16))),'⚙ Parámetros'!G16/(1+2^(-'⚙ Parámetros'!F16*(K86-'⚙ Parámetros'!E16))),1)*K86+20/100*MAX('⚙ Parámetros'!D16/(1+2^(-'⚙ Parámetros'!C16*(L86-'⚙ Parámetros'!B16))),'⚙ Parámetros'!G16/(1+2^(-'⚙ Parámetros'!F16*(L86-'⚙ Parámetros'!E16))),1)*L86+20/100*MAX('⚙ Parámetros'!D16/(1+2^(-'⚙ Parámetros'!C16*(M86-'⚙ Parámetros'!B16))),'⚙ Parámetros'!G16/(1+2^(-'⚙ Parámetros'!F16*(M86-'⚙ Parámetros'!E16))),1)*M86)/(35/100*MAX('⚙ Parámetros'!D16/(1+2^(-'⚙ Parámetros'!C16*(J86-'⚙ Parámetros'!B16))),'⚙ Parámetros'!G16/(1+2^(-'⚙ Parámetros'!F16*(J86-'⚙ Parámetros'!E16))),1)+25/100*MAX('⚙ Parámetros'!D16/(1+2^(-'⚙ Parámetros'!C16*(K86-'⚙ Parámetros'!B16))),'⚙ Parámetros'!G16/(1+2^(-'⚙ Parámetros'!F16*(K86-'⚙ Parámetros'!E16))),1)+20/100*MAX('⚙ Parámetros'!D16/(1+2^(-'⚙ Parámetros'!C16*(L86-'⚙ Parámetros'!B16))),'⚙ Parámetros'!G16/(1+2^(-'⚙ Parámetros'!F16*(L86-'⚙ Parámetros'!E16))),1)+20/100*MAX('⚙ Parámetros'!D16/(1+2^(-'⚙ Parámetros'!C16*(M86-'⚙ Parámetros'!B16))),'⚙ Parámetros'!G16/(1+2^(-'⚙ Parámetros'!F16*(M86-'⚙ Parámetros'!E16))),1)),0)</f>
        <v>1.4000000000000001</v>
      </c>
      <c r="AD86" s="89">
        <f>IFERROR((30/100*MAX('⚙ Parámetros'!D17/(1+2^(-'⚙ Parámetros'!C17*(N86-'⚙ Parámetros'!B17))),'⚙ Parámetros'!G17/(1+2^(-'⚙ Parámetros'!F17*(N86-'⚙ Parámetros'!E17))),1)*N86+25/100*MAX('⚙ Parámetros'!D17/(1+2^(-'⚙ Parámetros'!C17*(O86-'⚙ Parámetros'!B17))),'⚙ Parámetros'!G17/(1+2^(-'⚙ Parámetros'!F17*(O86-'⚙ Parámetros'!E17))),1)*O86+25/100*MAX('⚙ Parámetros'!D17/(1+2^(-'⚙ Parámetros'!C17*(P86-'⚙ Parámetros'!B17))),'⚙ Parámetros'!G17/(1+2^(-'⚙ Parámetros'!F17*(P86-'⚙ Parámetros'!E17))),1)*P86+20/100*MAX('⚙ Parámetros'!D17/(1+2^(-'⚙ Parámetros'!C17*(Q86-'⚙ Parámetros'!B17))),'⚙ Parámetros'!G17/(1+2^(-'⚙ Parámetros'!F17*(Q86-'⚙ Parámetros'!E17))),1)*Q86)/(30/100*MAX('⚙ Parámetros'!D17/(1+2^(-'⚙ Parámetros'!C17*(N86-'⚙ Parámetros'!B17))),'⚙ Parámetros'!G17/(1+2^(-'⚙ Parámetros'!F17*(N86-'⚙ Parámetros'!E17))),1)+25/100*MAX('⚙ Parámetros'!D17/(1+2^(-'⚙ Parámetros'!C17*(O86-'⚙ Parámetros'!B17))),'⚙ Parámetros'!G17/(1+2^(-'⚙ Parámetros'!F17*(O86-'⚙ Parámetros'!E17))),1)+25/100*MAX('⚙ Parámetros'!D17/(1+2^(-'⚙ Parámetros'!C17*(P86-'⚙ Parámetros'!B17))),'⚙ Parámetros'!G17/(1+2^(-'⚙ Parámetros'!F17*(P86-'⚙ Parámetros'!E17))),1)+20/100*MAX('⚙ Parámetros'!D17/(1+2^(-'⚙ Parámetros'!C17*(Q86-'⚙ Parámetros'!B17))),'⚙ Parámetros'!G17/(1+2^(-'⚙ Parámetros'!F17*(Q86-'⚙ Parámetros'!E17))),1)),0)</f>
        <v>5.6305418719211815</v>
      </c>
      <c r="AE86" s="89">
        <f>IFERROR((30/100*MAX('⚙ Parámetros'!D18/(1+2^(-'⚙ Parámetros'!C18*(R86-'⚙ Parámetros'!B18))),'⚙ Parámetros'!G18/(1+2^(-'⚙ Parámetros'!F18*(R86-'⚙ Parámetros'!E18))),1)*R86+30/100*MAX('⚙ Parámetros'!D18/(1+2^(-'⚙ Parámetros'!C18*(S86-'⚙ Parámetros'!B18))),'⚙ Parámetros'!G18/(1+2^(-'⚙ Parámetros'!F18*(S86-'⚙ Parámetros'!E18))),1)*S86+20/100*MAX('⚙ Parámetros'!D18/(1+2^(-'⚙ Parámetros'!C18*(T86-'⚙ Parámetros'!B18))),'⚙ Parámetros'!G18/(1+2^(-'⚙ Parámetros'!F18*(T86-'⚙ Parámetros'!E18))),1)*T86+20/100*MAX('⚙ Parámetros'!D18/(1+2^(-'⚙ Parámetros'!C18*(U86-'⚙ Parámetros'!B18))),'⚙ Parámetros'!G18/(1+2^(-'⚙ Parámetros'!F18*(U86-'⚙ Parámetros'!E18))),1)*U86)/(30/100*MAX('⚙ Parámetros'!D18/(1+2^(-'⚙ Parámetros'!C18*(R86-'⚙ Parámetros'!B18))),'⚙ Parámetros'!G18/(1+2^(-'⚙ Parámetros'!F18*(R86-'⚙ Parámetros'!E18))),1)+30/100*MAX('⚙ Parámetros'!D18/(1+2^(-'⚙ Parámetros'!C18*(S86-'⚙ Parámetros'!B18))),'⚙ Parámetros'!G18/(1+2^(-'⚙ Parámetros'!F18*(S86-'⚙ Parámetros'!E18))),1)+20/100*MAX('⚙ Parámetros'!D18/(1+2^(-'⚙ Parámetros'!C18*(T86-'⚙ Parámetros'!B18))),'⚙ Parámetros'!G18/(1+2^(-'⚙ Parámetros'!F18*(T86-'⚙ Parámetros'!E18))),1)+20/100*MAX('⚙ Parámetros'!D18/(1+2^(-'⚙ Parámetros'!C18*(U86-'⚙ Parámetros'!B18))),'⚙ Parámetros'!G18/(1+2^(-'⚙ Parámetros'!F18*(U86-'⚙ Parámetros'!E18))),1)),0)</f>
        <v>5.6428571428571441</v>
      </c>
      <c r="AF86" s="89">
        <f>IFERROR((30/100*MAX('⚙ Parámetros'!D19/(1+2^(-'⚙ Parámetros'!C19*(V86-'⚙ Parámetros'!B19))),'⚙ Parámetros'!G19/(1+2^(-'⚙ Parámetros'!F19*(V86-'⚙ Parámetros'!E19))),1)*V86+35/100*MAX('⚙ Parámetros'!D19/(1+2^(-'⚙ Parámetros'!C19*(W86-'⚙ Parámetros'!B19))),'⚙ Parámetros'!G19/(1+2^(-'⚙ Parámetros'!F19*(W86-'⚙ Parámetros'!E19))),1)*W86+35/100*MAX('⚙ Parámetros'!D19/(1+2^(-'⚙ Parámetros'!C19*(X86-'⚙ Parámetros'!B19))),'⚙ Parámetros'!G19/(1+2^(-'⚙ Parámetros'!F19*(X86-'⚙ Parámetros'!E19))),1)*X86)/(30/100*MAX('⚙ Parámetros'!D19/(1+2^(-'⚙ Parámetros'!C19*(V86-'⚙ Parámetros'!B19))),'⚙ Parámetros'!G19/(1+2^(-'⚙ Parámetros'!F19*(V86-'⚙ Parámetros'!E19))),1)+35/100*MAX('⚙ Parámetros'!D19/(1+2^(-'⚙ Parámetros'!C19*(W86-'⚙ Parámetros'!B19))),'⚙ Parámetros'!G19/(1+2^(-'⚙ Parámetros'!F19*(W86-'⚙ Parámetros'!E19))),1)+35/100*MAX('⚙ Parámetros'!D19/(1+2^(-'⚙ Parámetros'!C19*(X86-'⚙ Parámetros'!B19))),'⚙ Parámetros'!G19/(1+2^(-'⚙ Parámetros'!F19*(X86-'⚙ Parámetros'!E19))),1)),0)</f>
        <v>4.7123287671232879</v>
      </c>
      <c r="AG86" s="89">
        <f>IFERROR((35/100*MAX('⚙ Parámetros'!D20/(1+2^(-'⚙ Parámetros'!C20*(Y86-'⚙ Parámetros'!B20))),'⚙ Parámetros'!G20/(1+2^(-'⚙ Parámetros'!F20*(Y86-'⚙ Parámetros'!E20))),1)*Y86+35/100*MAX('⚙ Parámetros'!D20/(1+2^(-'⚙ Parámetros'!C20*(Z86-'⚙ Parámetros'!B20))),'⚙ Parámetros'!G20/(1+2^(-'⚙ Parámetros'!F20*(Z86-'⚙ Parámetros'!E20))),1)*Z86+30/100*MAX('⚙ Parámetros'!D20/(1+2^(-'⚙ Parámetros'!C20*(AA86-'⚙ Parámetros'!B20))),'⚙ Parámetros'!G20/(1+2^(-'⚙ Parámetros'!F20*(AA86-'⚙ Parámetros'!E20))),1)*AA86)/(35/100*MAX('⚙ Parámetros'!D20/(1+2^(-'⚙ Parámetros'!C20*(Y86-'⚙ Parámetros'!B20))),'⚙ Parámetros'!G20/(1+2^(-'⚙ Parámetros'!F20*(Y86-'⚙ Parámetros'!E20))),1)+35/100*MAX('⚙ Parámetros'!D20/(1+2^(-'⚙ Parámetros'!C20*(Z86-'⚙ Parámetros'!B20))),'⚙ Parámetros'!G20/(1+2^(-'⚙ Parámetros'!F20*(Z86-'⚙ Parámetros'!E20))),1)+30/100*MAX('⚙ Parámetros'!D20/(1+2^(-'⚙ Parámetros'!C20*(AA86-'⚙ Parámetros'!B20))),'⚙ Parámetros'!G20/(1+2^(-'⚙ Parámetros'!F20*(AA86-'⚙ Parámetros'!E20))),1)),0)</f>
        <v>3.7272727272727275</v>
      </c>
      <c r="AH86" s="90">
        <f>('⚙ Parámetros'!B5/100*AB86+'⚙ Parámetros'!B6/100*AC86+'⚙ Parámetros'!B7/100*AD86+'⚙ Parámetros'!B8/100*AE86+'⚙ Parámetros'!B9/100*AF86+'⚙ Parámetros'!B10/100*AG86)</f>
        <v>3.4955230692783839</v>
      </c>
      <c r="AI86" s="91">
        <f ca="1">MIN(1+MAX(0,TODAY()-DATE(2026,4,29))/365*'⚙ Parámetros'!B33,'⚙ Parámetros'!B34)</f>
        <v>1.0180821917808218</v>
      </c>
      <c r="AJ86" s="82">
        <f t="shared" ca="1" si="4"/>
        <v>3.5587297877913624</v>
      </c>
      <c r="AK86" s="92" t="str">
        <f ca="1">IF(AB86&gt;='⚙ Parámetros'!B23,"⚑ AUTO-PRIOR.(D1≥8)",IF(AJ86&gt;='⚙ Parámetros'!B23,"PRIORITARIO",IF(AJ86&gt;='⚙ Parámetros'!B24,"ALTA PRIORIDAD",IF(AJ86&gt;='⚙ Parámetros'!B25,"PRIORIDAD MEDIA",IF(AJ86&gt;='⚙ Parámetros'!B26,"BAJA PRIORIDAD","DESCARTAR")))))</f>
        <v>DESCARTAR</v>
      </c>
      <c r="AL86" s="69" t="str">
        <f t="shared" si="5"/>
        <v>—</v>
      </c>
      <c r="AM86" s="85">
        <v>17</v>
      </c>
      <c r="AN86" s="83" t="str">
        <f>IF(AM86="","—",IF(AM86&lt;'⚙ Parámetros'!B29,"🟢 Corto",IF(AM86&lt;'⚙ Parámetros'!B30,"🟡 Medio","🔴 Largo")))</f>
        <v>🟢 Corto</v>
      </c>
    </row>
    <row r="87" spans="1:40" ht="18.75" customHeight="1" x14ac:dyDescent="0.25">
      <c r="A87" s="69">
        <v>83</v>
      </c>
      <c r="B87" s="70" t="s">
        <v>301</v>
      </c>
      <c r="C87" s="4" t="s">
        <v>147</v>
      </c>
      <c r="D87" s="71" t="s">
        <v>139</v>
      </c>
      <c r="E87" s="72" t="s">
        <v>302</v>
      </c>
      <c r="F87" s="74">
        <v>1</v>
      </c>
      <c r="G87" s="74">
        <v>1</v>
      </c>
      <c r="H87" s="74">
        <v>1</v>
      </c>
      <c r="I87" s="74">
        <v>1</v>
      </c>
      <c r="J87" s="74">
        <v>1</v>
      </c>
      <c r="K87" s="74">
        <v>1</v>
      </c>
      <c r="L87" s="74">
        <v>1</v>
      </c>
      <c r="M87" s="73">
        <v>3</v>
      </c>
      <c r="N87" s="73">
        <v>7</v>
      </c>
      <c r="O87" s="74">
        <v>1</v>
      </c>
      <c r="P87" s="74">
        <v>1</v>
      </c>
      <c r="Q87" s="74">
        <v>1</v>
      </c>
      <c r="R87" s="76">
        <v>9</v>
      </c>
      <c r="S87" s="76">
        <v>9</v>
      </c>
      <c r="T87" s="73">
        <v>5</v>
      </c>
      <c r="U87" s="73">
        <v>5</v>
      </c>
      <c r="V87" s="77">
        <v>8</v>
      </c>
      <c r="W87" s="73">
        <v>6</v>
      </c>
      <c r="X87" s="77">
        <v>9</v>
      </c>
      <c r="Y87" s="73">
        <v>4</v>
      </c>
      <c r="Z87" s="74">
        <v>2</v>
      </c>
      <c r="AA87" s="73">
        <v>5</v>
      </c>
      <c r="AB87" s="80">
        <f>IFERROR((30/100*MAX('⚙ Parámetros'!D15/(1+2^(-'⚙ Parámetros'!C15*(F87-'⚙ Parámetros'!B15))),'⚙ Parámetros'!G15/(1+2^(-'⚙ Parámetros'!F15*(F87-'⚙ Parámetros'!E15))),1)*F87+30/100*MAX('⚙ Parámetros'!D15/(1+2^(-'⚙ Parámetros'!C15*(G87-'⚙ Parámetros'!B15))),'⚙ Parámetros'!G15/(1+2^(-'⚙ Parámetros'!F15*(G87-'⚙ Parámetros'!E15))),1)*G87+20/100*MAX('⚙ Parámetros'!D15/(1+2^(-'⚙ Parámetros'!C15*(H87-'⚙ Parámetros'!B15))),'⚙ Parámetros'!G15/(1+2^(-'⚙ Parámetros'!F15*(H87-'⚙ Parámetros'!E15))),1)*H87+20/100*MAX('⚙ Parámetros'!D15/(1+2^(-'⚙ Parámetros'!C15*(I87-'⚙ Parámetros'!B15))),'⚙ Parámetros'!G15/(1+2^(-'⚙ Parámetros'!F15*(I87-'⚙ Parámetros'!E15))),1)*I87)/(30/100*MAX('⚙ Parámetros'!D15/(1+2^(-'⚙ Parámetros'!C15*(F87-'⚙ Parámetros'!B15))),'⚙ Parámetros'!G15/(1+2^(-'⚙ Parámetros'!F15*(F87-'⚙ Parámetros'!E15))),1)+30/100*MAX('⚙ Parámetros'!D15/(1+2^(-'⚙ Parámetros'!C15*(G87-'⚙ Parámetros'!B15))),'⚙ Parámetros'!G15/(1+2^(-'⚙ Parámetros'!F15*(G87-'⚙ Parámetros'!E15))),1)+20/100*MAX('⚙ Parámetros'!D15/(1+2^(-'⚙ Parámetros'!C15*(H87-'⚙ Parámetros'!B15))),'⚙ Parámetros'!G15/(1+2^(-'⚙ Parámetros'!F15*(H87-'⚙ Parámetros'!E15))),1)+20/100*MAX('⚙ Parámetros'!D15/(1+2^(-'⚙ Parámetros'!C15*(I87-'⚙ Parámetros'!B15))),'⚙ Parámetros'!G15/(1+2^(-'⚙ Parámetros'!F15*(I87-'⚙ Parámetros'!E15))),1)),0)</f>
        <v>1</v>
      </c>
      <c r="AC87" s="80">
        <f>IFERROR((35/100*MAX('⚙ Parámetros'!D16/(1+2^(-'⚙ Parámetros'!C16*(J87-'⚙ Parámetros'!B16))),'⚙ Parámetros'!G16/(1+2^(-'⚙ Parámetros'!F16*(J87-'⚙ Parámetros'!E16))),1)*J87+25/100*MAX('⚙ Parámetros'!D16/(1+2^(-'⚙ Parámetros'!C16*(K87-'⚙ Parámetros'!B16))),'⚙ Parámetros'!G16/(1+2^(-'⚙ Parámetros'!F16*(K87-'⚙ Parámetros'!E16))),1)*K87+20/100*MAX('⚙ Parámetros'!D16/(1+2^(-'⚙ Parámetros'!C16*(L87-'⚙ Parámetros'!B16))),'⚙ Parámetros'!G16/(1+2^(-'⚙ Parámetros'!F16*(L87-'⚙ Parámetros'!E16))),1)*L87+20/100*MAX('⚙ Parámetros'!D16/(1+2^(-'⚙ Parámetros'!C16*(M87-'⚙ Parámetros'!B16))),'⚙ Parámetros'!G16/(1+2^(-'⚙ Parámetros'!F16*(M87-'⚙ Parámetros'!E16))),1)*M87)/(35/100*MAX('⚙ Parámetros'!D16/(1+2^(-'⚙ Parámetros'!C16*(J87-'⚙ Parámetros'!B16))),'⚙ Parámetros'!G16/(1+2^(-'⚙ Parámetros'!F16*(J87-'⚙ Parámetros'!E16))),1)+25/100*MAX('⚙ Parámetros'!D16/(1+2^(-'⚙ Parámetros'!C16*(K87-'⚙ Parámetros'!B16))),'⚙ Parámetros'!G16/(1+2^(-'⚙ Parámetros'!F16*(K87-'⚙ Parámetros'!E16))),1)+20/100*MAX('⚙ Parámetros'!D16/(1+2^(-'⚙ Parámetros'!C16*(L87-'⚙ Parámetros'!B16))),'⚙ Parámetros'!G16/(1+2^(-'⚙ Parámetros'!F16*(L87-'⚙ Parámetros'!E16))),1)+20/100*MAX('⚙ Parámetros'!D16/(1+2^(-'⚙ Parámetros'!C16*(M87-'⚙ Parámetros'!B16))),'⚙ Parámetros'!G16/(1+2^(-'⚙ Parámetros'!F16*(M87-'⚙ Parámetros'!E16))),1)),0)</f>
        <v>1.4000000000000001</v>
      </c>
      <c r="AD87" s="80">
        <f>IFERROR((30/100*MAX('⚙ Parámetros'!D17/(1+2^(-'⚙ Parámetros'!C17*(N87-'⚙ Parámetros'!B17))),'⚙ Parámetros'!G17/(1+2^(-'⚙ Parámetros'!F17*(N87-'⚙ Parámetros'!E17))),1)*N87+25/100*MAX('⚙ Parámetros'!D17/(1+2^(-'⚙ Parámetros'!C17*(O87-'⚙ Parámetros'!B17))),'⚙ Parámetros'!G17/(1+2^(-'⚙ Parámetros'!F17*(O87-'⚙ Parámetros'!E17))),1)*O87+25/100*MAX('⚙ Parámetros'!D17/(1+2^(-'⚙ Parámetros'!C17*(P87-'⚙ Parámetros'!B17))),'⚙ Parámetros'!G17/(1+2^(-'⚙ Parámetros'!F17*(P87-'⚙ Parámetros'!E17))),1)*P87+20/100*MAX('⚙ Parámetros'!D17/(1+2^(-'⚙ Parámetros'!C17*(Q87-'⚙ Parámetros'!B17))),'⚙ Parámetros'!G17/(1+2^(-'⚙ Parámetros'!F17*(Q87-'⚙ Parámetros'!E17))),1)*Q87)/(30/100*MAX('⚙ Parámetros'!D17/(1+2^(-'⚙ Parámetros'!C17*(N87-'⚙ Parámetros'!B17))),'⚙ Parámetros'!G17/(1+2^(-'⚙ Parámetros'!F17*(N87-'⚙ Parámetros'!E17))),1)+25/100*MAX('⚙ Parámetros'!D17/(1+2^(-'⚙ Parámetros'!C17*(O87-'⚙ Parámetros'!B17))),'⚙ Parámetros'!G17/(1+2^(-'⚙ Parámetros'!F17*(O87-'⚙ Parámetros'!E17))),1)+25/100*MAX('⚙ Parámetros'!D17/(1+2^(-'⚙ Parámetros'!C17*(P87-'⚙ Parámetros'!B17))),'⚙ Parámetros'!G17/(1+2^(-'⚙ Parámetros'!F17*(P87-'⚙ Parámetros'!E17))),1)+20/100*MAX('⚙ Parámetros'!D17/(1+2^(-'⚙ Parámetros'!C17*(Q87-'⚙ Parámetros'!B17))),'⚙ Parámetros'!G17/(1+2^(-'⚙ Parámetros'!F17*(Q87-'⚙ Parámetros'!E17))),1)),0)</f>
        <v>4.2</v>
      </c>
      <c r="AE87" s="80">
        <f>IFERROR((30/100*MAX('⚙ Parámetros'!D18/(1+2^(-'⚙ Parámetros'!C18*(R87-'⚙ Parámetros'!B18))),'⚙ Parámetros'!G18/(1+2^(-'⚙ Parámetros'!F18*(R87-'⚙ Parámetros'!E18))),1)*R87+30/100*MAX('⚙ Parámetros'!D18/(1+2^(-'⚙ Parámetros'!C18*(S87-'⚙ Parámetros'!B18))),'⚙ Parámetros'!G18/(1+2^(-'⚙ Parámetros'!F18*(S87-'⚙ Parámetros'!E18))),1)*S87+20/100*MAX('⚙ Parámetros'!D18/(1+2^(-'⚙ Parámetros'!C18*(T87-'⚙ Parámetros'!B18))),'⚙ Parámetros'!G18/(1+2^(-'⚙ Parámetros'!F18*(T87-'⚙ Parámetros'!E18))),1)*T87+20/100*MAX('⚙ Parámetros'!D18/(1+2^(-'⚙ Parámetros'!C18*(U87-'⚙ Parámetros'!B18))),'⚙ Parámetros'!G18/(1+2^(-'⚙ Parámetros'!F18*(U87-'⚙ Parámetros'!E18))),1)*U87)/(30/100*MAX('⚙ Parámetros'!D18/(1+2^(-'⚙ Parámetros'!C18*(R87-'⚙ Parámetros'!B18))),'⚙ Parámetros'!G18/(1+2^(-'⚙ Parámetros'!F18*(R87-'⚙ Parámetros'!E18))),1)+30/100*MAX('⚙ Parámetros'!D18/(1+2^(-'⚙ Parámetros'!C18*(S87-'⚙ Parámetros'!B18))),'⚙ Parámetros'!G18/(1+2^(-'⚙ Parámetros'!F18*(S87-'⚙ Parámetros'!E18))),1)+20/100*MAX('⚙ Parámetros'!D18/(1+2^(-'⚙ Parámetros'!C18*(T87-'⚙ Parámetros'!B18))),'⚙ Parámetros'!G18/(1+2^(-'⚙ Parámetros'!F18*(T87-'⚙ Parámetros'!E18))),1)+20/100*MAX('⚙ Parámetros'!D18/(1+2^(-'⚙ Parámetros'!C18*(U87-'⚙ Parámetros'!B18))),'⚙ Parámetros'!G18/(1+2^(-'⚙ Parámetros'!F18*(U87-'⚙ Parámetros'!E18))),1)),0)</f>
        <v>8.1801060365339655</v>
      </c>
      <c r="AF87" s="80">
        <f>IFERROR((30/100*MAX('⚙ Parámetros'!D19/(1+2^(-'⚙ Parámetros'!C19*(V87-'⚙ Parámetros'!B19))),'⚙ Parámetros'!G19/(1+2^(-'⚙ Parámetros'!F19*(V87-'⚙ Parámetros'!E19))),1)*V87+35/100*MAX('⚙ Parámetros'!D19/(1+2^(-'⚙ Parámetros'!C19*(W87-'⚙ Parámetros'!B19))),'⚙ Parámetros'!G19/(1+2^(-'⚙ Parámetros'!F19*(W87-'⚙ Parámetros'!E19))),1)*W87+35/100*MAX('⚙ Parámetros'!D19/(1+2^(-'⚙ Parámetros'!C19*(X87-'⚙ Parámetros'!B19))),'⚙ Parámetros'!G19/(1+2^(-'⚙ Parámetros'!F19*(X87-'⚙ Parámetros'!E19))),1)*X87)/(30/100*MAX('⚙ Parámetros'!D19/(1+2^(-'⚙ Parámetros'!C19*(V87-'⚙ Parámetros'!B19))),'⚙ Parámetros'!G19/(1+2^(-'⚙ Parámetros'!F19*(V87-'⚙ Parámetros'!E19))),1)+35/100*MAX('⚙ Parámetros'!D19/(1+2^(-'⚙ Parámetros'!C19*(W87-'⚙ Parámetros'!B19))),'⚙ Parámetros'!G19/(1+2^(-'⚙ Parámetros'!F19*(W87-'⚙ Parámetros'!E19))),1)+35/100*MAX('⚙ Parámetros'!D19/(1+2^(-'⚙ Parámetros'!C19*(X87-'⚙ Parámetros'!B19))),'⚙ Parámetros'!G19/(1+2^(-'⚙ Parámetros'!F19*(X87-'⚙ Parámetros'!E19))),1)),0)</f>
        <v>8.0351483057098907</v>
      </c>
      <c r="AG87" s="80">
        <f>IFERROR((35/100*MAX('⚙ Parámetros'!D20/(1+2^(-'⚙ Parámetros'!C20*(Y87-'⚙ Parámetros'!B20))),'⚙ Parámetros'!G20/(1+2^(-'⚙ Parámetros'!F20*(Y87-'⚙ Parámetros'!E20))),1)*Y87+35/100*MAX('⚙ Parámetros'!D20/(1+2^(-'⚙ Parámetros'!C20*(Z87-'⚙ Parámetros'!B20))),'⚙ Parámetros'!G20/(1+2^(-'⚙ Parámetros'!F20*(Z87-'⚙ Parámetros'!E20))),1)*Z87+30/100*MAX('⚙ Parámetros'!D20/(1+2^(-'⚙ Parámetros'!C20*(AA87-'⚙ Parámetros'!B20))),'⚙ Parámetros'!G20/(1+2^(-'⚙ Parámetros'!F20*(AA87-'⚙ Parámetros'!E20))),1)*AA87)/(35/100*MAX('⚙ Parámetros'!D20/(1+2^(-'⚙ Parámetros'!C20*(Y87-'⚙ Parámetros'!B20))),'⚙ Parámetros'!G20/(1+2^(-'⚙ Parámetros'!F20*(Y87-'⚙ Parámetros'!E20))),1)+35/100*MAX('⚙ Parámetros'!D20/(1+2^(-'⚙ Parámetros'!C20*(Z87-'⚙ Parámetros'!B20))),'⚙ Parámetros'!G20/(1+2^(-'⚙ Parámetros'!F20*(Z87-'⚙ Parámetros'!E20))),1)+30/100*MAX('⚙ Parámetros'!D20/(1+2^(-'⚙ Parámetros'!C20*(AA87-'⚙ Parámetros'!B20))),'⚙ Parámetros'!G20/(1+2^(-'⚙ Parámetros'!F20*(AA87-'⚙ Parámetros'!E20))),1)),0)</f>
        <v>3.7272727272727275</v>
      </c>
      <c r="AH87" s="81">
        <f>('⚙ Parámetros'!B5/100*AB87+'⚙ Parámetros'!B6/100*AC87+'⚙ Parámetros'!B7/100*AD87+'⚙ Parámetros'!B8/100*AE87+'⚙ Parámetros'!B9/100*AF87+'⚙ Parámetros'!B10/100*AG87)</f>
        <v>3.5033093731368834</v>
      </c>
      <c r="AI87" s="33">
        <f ca="1">MIN(1+MAX(0,TODAY()-DATE(2025,6,26))/365*'⚙ Parámetros'!B33,'⚙ Parámetros'!B34)</f>
        <v>1.1442465753424658</v>
      </c>
      <c r="AJ87" s="82">
        <f t="shared" ca="1" si="4"/>
        <v>4.008649752577039</v>
      </c>
      <c r="AK87" s="83" t="str">
        <f ca="1">IF(AB87&gt;='⚙ Parámetros'!B23,"⚑ AUTO-PRIOR.(D1≥8)",IF(AJ87&gt;='⚙ Parámetros'!B23,"PRIORITARIO",IF(AJ87&gt;='⚙ Parámetros'!B24,"ALTA PRIORIDAD",IF(AJ87&gt;='⚙ Parámetros'!B25,"PRIORIDAD MEDIA",IF(AJ87&gt;='⚙ Parámetros'!B26,"BAJA PRIORIDAD","DESCARTAR")))))</f>
        <v>BAJA PRIORIDAD</v>
      </c>
      <c r="AL87" s="84" t="str">
        <f t="shared" si="5"/>
        <v>—</v>
      </c>
      <c r="AM87" s="85">
        <v>13</v>
      </c>
      <c r="AN87" s="83" t="str">
        <f>IF(AM87="","—",IF(AM87&lt;'⚙ Parámetros'!B29,"🟢 Corto",IF(AM87&lt;'⚙ Parámetros'!B30,"🟡 Medio","🔴 Largo")))</f>
        <v>🟢 Corto</v>
      </c>
    </row>
    <row r="88" spans="1:40" ht="18.75" customHeight="1" x14ac:dyDescent="0.25">
      <c r="A88" s="69">
        <v>84</v>
      </c>
      <c r="B88" s="30" t="s">
        <v>303</v>
      </c>
      <c r="C88" s="26" t="s">
        <v>135</v>
      </c>
      <c r="D88" s="71" t="s">
        <v>304</v>
      </c>
      <c r="E88" s="72" t="s">
        <v>180</v>
      </c>
      <c r="F88" s="74">
        <v>1</v>
      </c>
      <c r="G88" s="86">
        <v>7</v>
      </c>
      <c r="H88" s="74">
        <v>1</v>
      </c>
      <c r="I88" s="74">
        <v>1</v>
      </c>
      <c r="J88" s="74">
        <v>1</v>
      </c>
      <c r="K88" s="74">
        <v>1</v>
      </c>
      <c r="L88" s="74">
        <v>1</v>
      </c>
      <c r="M88" s="86">
        <v>3</v>
      </c>
      <c r="N88" s="74">
        <v>1</v>
      </c>
      <c r="O88" s="74">
        <v>1</v>
      </c>
      <c r="P88" s="74">
        <v>1</v>
      </c>
      <c r="Q88" s="74">
        <v>1</v>
      </c>
      <c r="R88" s="86">
        <v>5</v>
      </c>
      <c r="S88" s="86">
        <v>5</v>
      </c>
      <c r="T88" s="86">
        <v>5</v>
      </c>
      <c r="U88" s="86">
        <v>5</v>
      </c>
      <c r="V88" s="86">
        <v>5</v>
      </c>
      <c r="W88" s="86">
        <v>6</v>
      </c>
      <c r="X88" s="86">
        <v>6</v>
      </c>
      <c r="Y88" s="86">
        <v>4</v>
      </c>
      <c r="Z88" s="74">
        <v>2</v>
      </c>
      <c r="AA88" s="86">
        <v>5</v>
      </c>
      <c r="AB88" s="89">
        <f>IFERROR((30/100*MAX('⚙ Parámetros'!D15/(1+2^(-'⚙ Parámetros'!C15*(F88-'⚙ Parámetros'!B15))),'⚙ Parámetros'!G15/(1+2^(-'⚙ Parámetros'!F15*(F88-'⚙ Parámetros'!E15))),1)*F88+30/100*MAX('⚙ Parámetros'!D15/(1+2^(-'⚙ Parámetros'!C15*(G88-'⚙ Parámetros'!B15))),'⚙ Parámetros'!G15/(1+2^(-'⚙ Parámetros'!F15*(G88-'⚙ Parámetros'!E15))),1)*G88+20/100*MAX('⚙ Parámetros'!D15/(1+2^(-'⚙ Parámetros'!C15*(H88-'⚙ Parámetros'!B15))),'⚙ Parámetros'!G15/(1+2^(-'⚙ Parámetros'!F15*(H88-'⚙ Parámetros'!E15))),1)*H88+20/100*MAX('⚙ Parámetros'!D15/(1+2^(-'⚙ Parámetros'!C15*(I88-'⚙ Parámetros'!B15))),'⚙ Parámetros'!G15/(1+2^(-'⚙ Parámetros'!F15*(I88-'⚙ Parámetros'!E15))),1)*I88)/(30/100*MAX('⚙ Parámetros'!D15/(1+2^(-'⚙ Parámetros'!C15*(F88-'⚙ Parámetros'!B15))),'⚙ Parámetros'!G15/(1+2^(-'⚙ Parámetros'!F15*(F88-'⚙ Parámetros'!E15))),1)+30/100*MAX('⚙ Parámetros'!D15/(1+2^(-'⚙ Parámetros'!C15*(G88-'⚙ Parámetros'!B15))),'⚙ Parámetros'!G15/(1+2^(-'⚙ Parámetros'!F15*(G88-'⚙ Parámetros'!E15))),1)+20/100*MAX('⚙ Parámetros'!D15/(1+2^(-'⚙ Parámetros'!C15*(H88-'⚙ Parámetros'!B15))),'⚙ Parámetros'!G15/(1+2^(-'⚙ Parámetros'!F15*(H88-'⚙ Parámetros'!E15))),1)+20/100*MAX('⚙ Parámetros'!D15/(1+2^(-'⚙ Parámetros'!C15*(I88-'⚙ Parámetros'!B15))),'⚙ Parámetros'!G15/(1+2^(-'⚙ Parámetros'!F15*(I88-'⚙ Parámetros'!E15))),1)),0)</f>
        <v>4.9512195121951219</v>
      </c>
      <c r="AC88" s="89">
        <f>IFERROR((35/100*MAX('⚙ Parámetros'!D16/(1+2^(-'⚙ Parámetros'!C16*(J88-'⚙ Parámetros'!B16))),'⚙ Parámetros'!G16/(1+2^(-'⚙ Parámetros'!F16*(J88-'⚙ Parámetros'!E16))),1)*J88+25/100*MAX('⚙ Parámetros'!D16/(1+2^(-'⚙ Parámetros'!C16*(K88-'⚙ Parámetros'!B16))),'⚙ Parámetros'!G16/(1+2^(-'⚙ Parámetros'!F16*(K88-'⚙ Parámetros'!E16))),1)*K88+20/100*MAX('⚙ Parámetros'!D16/(1+2^(-'⚙ Parámetros'!C16*(L88-'⚙ Parámetros'!B16))),'⚙ Parámetros'!G16/(1+2^(-'⚙ Parámetros'!F16*(L88-'⚙ Parámetros'!E16))),1)*L88+20/100*MAX('⚙ Parámetros'!D16/(1+2^(-'⚙ Parámetros'!C16*(M88-'⚙ Parámetros'!B16))),'⚙ Parámetros'!G16/(1+2^(-'⚙ Parámetros'!F16*(M88-'⚙ Parámetros'!E16))),1)*M88)/(35/100*MAX('⚙ Parámetros'!D16/(1+2^(-'⚙ Parámetros'!C16*(J88-'⚙ Parámetros'!B16))),'⚙ Parámetros'!G16/(1+2^(-'⚙ Parámetros'!F16*(J88-'⚙ Parámetros'!E16))),1)+25/100*MAX('⚙ Parámetros'!D16/(1+2^(-'⚙ Parámetros'!C16*(K88-'⚙ Parámetros'!B16))),'⚙ Parámetros'!G16/(1+2^(-'⚙ Parámetros'!F16*(K88-'⚙ Parámetros'!E16))),1)+20/100*MAX('⚙ Parámetros'!D16/(1+2^(-'⚙ Parámetros'!C16*(L88-'⚙ Parámetros'!B16))),'⚙ Parámetros'!G16/(1+2^(-'⚙ Parámetros'!F16*(L88-'⚙ Parámetros'!E16))),1)+20/100*MAX('⚙ Parámetros'!D16/(1+2^(-'⚙ Parámetros'!C16*(M88-'⚙ Parámetros'!B16))),'⚙ Parámetros'!G16/(1+2^(-'⚙ Parámetros'!F16*(M88-'⚙ Parámetros'!E16))),1)),0)</f>
        <v>1.4000000000000001</v>
      </c>
      <c r="AD88" s="89">
        <f>IFERROR((30/100*MAX('⚙ Parámetros'!D17/(1+2^(-'⚙ Parámetros'!C17*(N88-'⚙ Parámetros'!B17))),'⚙ Parámetros'!G17/(1+2^(-'⚙ Parámetros'!F17*(N88-'⚙ Parámetros'!E17))),1)*N88+25/100*MAX('⚙ Parámetros'!D17/(1+2^(-'⚙ Parámetros'!C17*(O88-'⚙ Parámetros'!B17))),'⚙ Parámetros'!G17/(1+2^(-'⚙ Parámetros'!F17*(O88-'⚙ Parámetros'!E17))),1)*O88+25/100*MAX('⚙ Parámetros'!D17/(1+2^(-'⚙ Parámetros'!C17*(P88-'⚙ Parámetros'!B17))),'⚙ Parámetros'!G17/(1+2^(-'⚙ Parámetros'!F17*(P88-'⚙ Parámetros'!E17))),1)*P88+20/100*MAX('⚙ Parámetros'!D17/(1+2^(-'⚙ Parámetros'!C17*(Q88-'⚙ Parámetros'!B17))),'⚙ Parámetros'!G17/(1+2^(-'⚙ Parámetros'!F17*(Q88-'⚙ Parámetros'!E17))),1)*Q88)/(30/100*MAX('⚙ Parámetros'!D17/(1+2^(-'⚙ Parámetros'!C17*(N88-'⚙ Parámetros'!B17))),'⚙ Parámetros'!G17/(1+2^(-'⚙ Parámetros'!F17*(N88-'⚙ Parámetros'!E17))),1)+25/100*MAX('⚙ Parámetros'!D17/(1+2^(-'⚙ Parámetros'!C17*(O88-'⚙ Parámetros'!B17))),'⚙ Parámetros'!G17/(1+2^(-'⚙ Parámetros'!F17*(O88-'⚙ Parámetros'!E17))),1)+25/100*MAX('⚙ Parámetros'!D17/(1+2^(-'⚙ Parámetros'!C17*(P88-'⚙ Parámetros'!B17))),'⚙ Parámetros'!G17/(1+2^(-'⚙ Parámetros'!F17*(P88-'⚙ Parámetros'!E17))),1)+20/100*MAX('⚙ Parámetros'!D17/(1+2^(-'⚙ Parámetros'!C17*(Q88-'⚙ Parámetros'!B17))),'⚙ Parámetros'!G17/(1+2^(-'⚙ Parámetros'!F17*(Q88-'⚙ Parámetros'!E17))),1)),0)</f>
        <v>1</v>
      </c>
      <c r="AE88" s="89">
        <f>IFERROR((30/100*MAX('⚙ Parámetros'!D18/(1+2^(-'⚙ Parámetros'!C18*(R88-'⚙ Parámetros'!B18))),'⚙ Parámetros'!G18/(1+2^(-'⚙ Parámetros'!F18*(R88-'⚙ Parámetros'!E18))),1)*R88+30/100*MAX('⚙ Parámetros'!D18/(1+2^(-'⚙ Parámetros'!C18*(S88-'⚙ Parámetros'!B18))),'⚙ Parámetros'!G18/(1+2^(-'⚙ Parámetros'!F18*(S88-'⚙ Parámetros'!E18))),1)*S88+20/100*MAX('⚙ Parámetros'!D18/(1+2^(-'⚙ Parámetros'!C18*(T88-'⚙ Parámetros'!B18))),'⚙ Parámetros'!G18/(1+2^(-'⚙ Parámetros'!F18*(T88-'⚙ Parámetros'!E18))),1)*T88+20/100*MAX('⚙ Parámetros'!D18/(1+2^(-'⚙ Parámetros'!C18*(U88-'⚙ Parámetros'!B18))),'⚙ Parámetros'!G18/(1+2^(-'⚙ Parámetros'!F18*(U88-'⚙ Parámetros'!E18))),1)*U88)/(30/100*MAX('⚙ Parámetros'!D18/(1+2^(-'⚙ Parámetros'!C18*(R88-'⚙ Parámetros'!B18))),'⚙ Parámetros'!G18/(1+2^(-'⚙ Parámetros'!F18*(R88-'⚙ Parámetros'!E18))),1)+30/100*MAX('⚙ Parámetros'!D18/(1+2^(-'⚙ Parámetros'!C18*(S88-'⚙ Parámetros'!B18))),'⚙ Parámetros'!G18/(1+2^(-'⚙ Parámetros'!F18*(S88-'⚙ Parámetros'!E18))),1)+20/100*MAX('⚙ Parámetros'!D18/(1+2^(-'⚙ Parámetros'!C18*(T88-'⚙ Parámetros'!B18))),'⚙ Parámetros'!G18/(1+2^(-'⚙ Parámetros'!F18*(T88-'⚙ Parámetros'!E18))),1)+20/100*MAX('⚙ Parámetros'!D18/(1+2^(-'⚙ Parámetros'!C18*(U88-'⚙ Parámetros'!B18))),'⚙ Parámetros'!G18/(1+2^(-'⚙ Parámetros'!F18*(U88-'⚙ Parámetros'!E18))),1)),0)</f>
        <v>5</v>
      </c>
      <c r="AF88" s="89">
        <f>IFERROR((30/100*MAX('⚙ Parámetros'!D19/(1+2^(-'⚙ Parámetros'!C19*(V88-'⚙ Parámetros'!B19))),'⚙ Parámetros'!G19/(1+2^(-'⚙ Parámetros'!F19*(V88-'⚙ Parámetros'!E19))),1)*V88+35/100*MAX('⚙ Parámetros'!D19/(1+2^(-'⚙ Parámetros'!C19*(W88-'⚙ Parámetros'!B19))),'⚙ Parámetros'!G19/(1+2^(-'⚙ Parámetros'!F19*(W88-'⚙ Parámetros'!E19))),1)*W88+35/100*MAX('⚙ Parámetros'!D19/(1+2^(-'⚙ Parámetros'!C19*(X88-'⚙ Parámetros'!B19))),'⚙ Parámetros'!G19/(1+2^(-'⚙ Parámetros'!F19*(X88-'⚙ Parámetros'!E19))),1)*X88)/(30/100*MAX('⚙ Parámetros'!D19/(1+2^(-'⚙ Parámetros'!C19*(V88-'⚙ Parámetros'!B19))),'⚙ Parámetros'!G19/(1+2^(-'⚙ Parámetros'!F19*(V88-'⚙ Parámetros'!E19))),1)+35/100*MAX('⚙ Parámetros'!D19/(1+2^(-'⚙ Parámetros'!C19*(W88-'⚙ Parámetros'!B19))),'⚙ Parámetros'!G19/(1+2^(-'⚙ Parámetros'!F19*(W88-'⚙ Parámetros'!E19))),1)+35/100*MAX('⚙ Parámetros'!D19/(1+2^(-'⚙ Parámetros'!C19*(X88-'⚙ Parámetros'!B19))),'⚙ Parámetros'!G19/(1+2^(-'⚙ Parámetros'!F19*(X88-'⚙ Parámetros'!E19))),1)),0)</f>
        <v>5.7368421052631575</v>
      </c>
      <c r="AG88" s="89">
        <f>IFERROR((35/100*MAX('⚙ Parámetros'!D20/(1+2^(-'⚙ Parámetros'!C20*(Y88-'⚙ Parámetros'!B20))),'⚙ Parámetros'!G20/(1+2^(-'⚙ Parámetros'!F20*(Y88-'⚙ Parámetros'!E20))),1)*Y88+35/100*MAX('⚙ Parámetros'!D20/(1+2^(-'⚙ Parámetros'!C20*(Z88-'⚙ Parámetros'!B20))),'⚙ Parámetros'!G20/(1+2^(-'⚙ Parámetros'!F20*(Z88-'⚙ Parámetros'!E20))),1)*Z88+30/100*MAX('⚙ Parámetros'!D20/(1+2^(-'⚙ Parámetros'!C20*(AA88-'⚙ Parámetros'!B20))),'⚙ Parámetros'!G20/(1+2^(-'⚙ Parámetros'!F20*(AA88-'⚙ Parámetros'!E20))),1)*AA88)/(35/100*MAX('⚙ Parámetros'!D20/(1+2^(-'⚙ Parámetros'!C20*(Y88-'⚙ Parámetros'!B20))),'⚙ Parámetros'!G20/(1+2^(-'⚙ Parámetros'!F20*(Y88-'⚙ Parámetros'!E20))),1)+35/100*MAX('⚙ Parámetros'!D20/(1+2^(-'⚙ Parámetros'!C20*(Z88-'⚙ Parámetros'!B20))),'⚙ Parámetros'!G20/(1+2^(-'⚙ Parámetros'!F20*(Z88-'⚙ Parámetros'!E20))),1)+30/100*MAX('⚙ Parámetros'!D20/(1+2^(-'⚙ Parámetros'!C20*(AA88-'⚙ Parámetros'!B20))),'⚙ Parámetros'!G20/(1+2^(-'⚙ Parámetros'!F20*(AA88-'⚙ Parámetros'!E20))),1)),0)</f>
        <v>3.7272727272727275</v>
      </c>
      <c r="AH88" s="90">
        <f>('⚙ Parámetros'!B5/100*AB88+'⚙ Parámetros'!B6/100*AC88+'⚙ Parámetros'!B7/100*AD88+'⚙ Parámetros'!B8/100*AE88+'⚙ Parámetros'!B9/100*AF88+'⚙ Parámetros'!B10/100*AG88)</f>
        <v>3.4372318823666705</v>
      </c>
      <c r="AI88" s="91">
        <f ca="1">MIN(1+MAX(0,TODAY()-DATE(2026,2,2))/365*'⚙ Parámetros'!B33,'⚙ Parámetros'!B34)</f>
        <v>1.0534246575342465</v>
      </c>
      <c r="AJ88" s="82">
        <f t="shared" ca="1" si="4"/>
        <v>3.6208648185479033</v>
      </c>
      <c r="AK88" s="92" t="str">
        <f ca="1">IF(AB88&gt;='⚙ Parámetros'!B23,"⚑ AUTO-PRIOR.(D1≥8)",IF(AJ88&gt;='⚙ Parámetros'!B23,"PRIORITARIO",IF(AJ88&gt;='⚙ Parámetros'!B24,"ALTA PRIORIDAD",IF(AJ88&gt;='⚙ Parámetros'!B25,"PRIORIDAD MEDIA",IF(AJ88&gt;='⚙ Parámetros'!B26,"BAJA PRIORIDAD","DESCARTAR")))))</f>
        <v>DESCARTAR</v>
      </c>
      <c r="AL88" s="69" t="str">
        <f t="shared" si="5"/>
        <v>—</v>
      </c>
      <c r="AM88" s="85">
        <v>32</v>
      </c>
      <c r="AN88" s="83" t="str">
        <f>IF(AM88="","—",IF(AM88&lt;'⚙ Parámetros'!B29,"🟢 Corto",IF(AM88&lt;'⚙ Parámetros'!B30,"🟡 Medio","🔴 Largo")))</f>
        <v>🟡 Medio</v>
      </c>
    </row>
    <row r="89" spans="1:40" ht="18.75" customHeight="1" x14ac:dyDescent="0.25">
      <c r="A89" s="69">
        <v>85</v>
      </c>
      <c r="B89" s="70" t="s">
        <v>305</v>
      </c>
      <c r="C89" s="4" t="s">
        <v>182</v>
      </c>
      <c r="D89" s="71" t="s">
        <v>139</v>
      </c>
      <c r="E89" s="72" t="s">
        <v>306</v>
      </c>
      <c r="F89" s="74">
        <v>1</v>
      </c>
      <c r="G89" s="74">
        <v>1</v>
      </c>
      <c r="H89" s="74">
        <v>1</v>
      </c>
      <c r="I89" s="74">
        <v>1</v>
      </c>
      <c r="J89" s="74">
        <v>1</v>
      </c>
      <c r="K89" s="74">
        <v>1</v>
      </c>
      <c r="L89" s="75">
        <v>8</v>
      </c>
      <c r="M89" s="73">
        <v>3</v>
      </c>
      <c r="N89" s="74">
        <v>1</v>
      </c>
      <c r="O89" s="74">
        <v>1</v>
      </c>
      <c r="P89" s="73">
        <v>6</v>
      </c>
      <c r="Q89" s="74">
        <v>1</v>
      </c>
      <c r="R89" s="73">
        <v>5</v>
      </c>
      <c r="S89" s="73">
        <v>5</v>
      </c>
      <c r="T89" s="73">
        <v>5</v>
      </c>
      <c r="U89" s="73">
        <v>5</v>
      </c>
      <c r="V89" s="73">
        <v>5</v>
      </c>
      <c r="W89" s="73">
        <v>6</v>
      </c>
      <c r="X89" s="73">
        <v>6</v>
      </c>
      <c r="Y89" s="73">
        <v>4</v>
      </c>
      <c r="Z89" s="74">
        <v>2</v>
      </c>
      <c r="AA89" s="73">
        <v>5</v>
      </c>
      <c r="AB89" s="80">
        <f>IFERROR((30/100*MAX('⚙ Parámetros'!D15/(1+2^(-'⚙ Parámetros'!C15*(F89-'⚙ Parámetros'!B15))),'⚙ Parámetros'!G15/(1+2^(-'⚙ Parámetros'!F15*(F89-'⚙ Parámetros'!E15))),1)*F89+30/100*MAX('⚙ Parámetros'!D15/(1+2^(-'⚙ Parámetros'!C15*(G89-'⚙ Parámetros'!B15))),'⚙ Parámetros'!G15/(1+2^(-'⚙ Parámetros'!F15*(G89-'⚙ Parámetros'!E15))),1)*G89+20/100*MAX('⚙ Parámetros'!D15/(1+2^(-'⚙ Parámetros'!C15*(H89-'⚙ Parámetros'!B15))),'⚙ Parámetros'!G15/(1+2^(-'⚙ Parámetros'!F15*(H89-'⚙ Parámetros'!E15))),1)*H89+20/100*MAX('⚙ Parámetros'!D15/(1+2^(-'⚙ Parámetros'!C15*(I89-'⚙ Parámetros'!B15))),'⚙ Parámetros'!G15/(1+2^(-'⚙ Parámetros'!F15*(I89-'⚙ Parámetros'!E15))),1)*I89)/(30/100*MAX('⚙ Parámetros'!D15/(1+2^(-'⚙ Parámetros'!C15*(F89-'⚙ Parámetros'!B15))),'⚙ Parámetros'!G15/(1+2^(-'⚙ Parámetros'!F15*(F89-'⚙ Parámetros'!E15))),1)+30/100*MAX('⚙ Parámetros'!D15/(1+2^(-'⚙ Parámetros'!C15*(G89-'⚙ Parámetros'!B15))),'⚙ Parámetros'!G15/(1+2^(-'⚙ Parámetros'!F15*(G89-'⚙ Parámetros'!E15))),1)+20/100*MAX('⚙ Parámetros'!D15/(1+2^(-'⚙ Parámetros'!C15*(H89-'⚙ Parámetros'!B15))),'⚙ Parámetros'!G15/(1+2^(-'⚙ Parámetros'!F15*(H89-'⚙ Parámetros'!E15))),1)+20/100*MAX('⚙ Parámetros'!D15/(1+2^(-'⚙ Parámetros'!C15*(I89-'⚙ Parámetros'!B15))),'⚙ Parámetros'!G15/(1+2^(-'⚙ Parámetros'!F15*(I89-'⚙ Parámetros'!E15))),1)),0)</f>
        <v>1</v>
      </c>
      <c r="AC89" s="80">
        <f>IFERROR((35/100*MAX('⚙ Parámetros'!D16/(1+2^(-'⚙ Parámetros'!C16*(J89-'⚙ Parámetros'!B16))),'⚙ Parámetros'!G16/(1+2^(-'⚙ Parámetros'!F16*(J89-'⚙ Parámetros'!E16))),1)*J89+25/100*MAX('⚙ Parámetros'!D16/(1+2^(-'⚙ Parámetros'!C16*(K89-'⚙ Parámetros'!B16))),'⚙ Parámetros'!G16/(1+2^(-'⚙ Parámetros'!F16*(K89-'⚙ Parámetros'!E16))),1)*K89+20/100*MAX('⚙ Parámetros'!D16/(1+2^(-'⚙ Parámetros'!C16*(L89-'⚙ Parámetros'!B16))),'⚙ Parámetros'!G16/(1+2^(-'⚙ Parámetros'!F16*(L89-'⚙ Parámetros'!E16))),1)*L89+20/100*MAX('⚙ Parámetros'!D16/(1+2^(-'⚙ Parámetros'!C16*(M89-'⚙ Parámetros'!B16))),'⚙ Parámetros'!G16/(1+2^(-'⚙ Parámetros'!F16*(M89-'⚙ Parámetros'!E16))),1)*M89)/(35/100*MAX('⚙ Parámetros'!D16/(1+2^(-'⚙ Parámetros'!C16*(J89-'⚙ Parámetros'!B16))),'⚙ Parámetros'!G16/(1+2^(-'⚙ Parámetros'!F16*(J89-'⚙ Parámetros'!E16))),1)+25/100*MAX('⚙ Parámetros'!D16/(1+2^(-'⚙ Parámetros'!C16*(K89-'⚙ Parámetros'!B16))),'⚙ Parámetros'!G16/(1+2^(-'⚙ Parámetros'!F16*(K89-'⚙ Parámetros'!E16))),1)+20/100*MAX('⚙ Parámetros'!D16/(1+2^(-'⚙ Parámetros'!C16*(L89-'⚙ Parámetros'!B16))),'⚙ Parámetros'!G16/(1+2^(-'⚙ Parámetros'!F16*(L89-'⚙ Parámetros'!E16))),1)+20/100*MAX('⚙ Parámetros'!D16/(1+2^(-'⚙ Parámetros'!C16*(M89-'⚙ Parámetros'!B16))),'⚙ Parámetros'!G16/(1+2^(-'⚙ Parámetros'!F16*(M89-'⚙ Parámetros'!E16))),1)),0)</f>
        <v>4.9411764705882355</v>
      </c>
      <c r="AD89" s="80">
        <f>IFERROR((30/100*MAX('⚙ Parámetros'!D17/(1+2^(-'⚙ Parámetros'!C17*(N89-'⚙ Parámetros'!B17))),'⚙ Parámetros'!G17/(1+2^(-'⚙ Parámetros'!F17*(N89-'⚙ Parámetros'!E17))),1)*N89+25/100*MAX('⚙ Parámetros'!D17/(1+2^(-'⚙ Parámetros'!C17*(O89-'⚙ Parámetros'!B17))),'⚙ Parámetros'!G17/(1+2^(-'⚙ Parámetros'!F17*(O89-'⚙ Parámetros'!E17))),1)*O89+25/100*MAX('⚙ Parámetros'!D17/(1+2^(-'⚙ Parámetros'!C17*(P89-'⚙ Parámetros'!B17))),'⚙ Parámetros'!G17/(1+2^(-'⚙ Parámetros'!F17*(P89-'⚙ Parámetros'!E17))),1)*P89+20/100*MAX('⚙ Parámetros'!D17/(1+2^(-'⚙ Parámetros'!C17*(Q89-'⚙ Parámetros'!B17))),'⚙ Parámetros'!G17/(1+2^(-'⚙ Parámetros'!F17*(Q89-'⚙ Parámetros'!E17))),1)*Q89)/(30/100*MAX('⚙ Parámetros'!D17/(1+2^(-'⚙ Parámetros'!C17*(N89-'⚙ Parámetros'!B17))),'⚙ Parámetros'!G17/(1+2^(-'⚙ Parámetros'!F17*(N89-'⚙ Parámetros'!E17))),1)+25/100*MAX('⚙ Parámetros'!D17/(1+2^(-'⚙ Parámetros'!C17*(O89-'⚙ Parámetros'!B17))),'⚙ Parámetros'!G17/(1+2^(-'⚙ Parámetros'!F17*(O89-'⚙ Parámetros'!E17))),1)+25/100*MAX('⚙ Parámetros'!D17/(1+2^(-'⚙ Parámetros'!C17*(P89-'⚙ Parámetros'!B17))),'⚙ Parámetros'!G17/(1+2^(-'⚙ Parámetros'!F17*(P89-'⚙ Parámetros'!E17))),1)+20/100*MAX('⚙ Parámetros'!D17/(1+2^(-'⚙ Parámetros'!C17*(Q89-'⚙ Parámetros'!B17))),'⚙ Parámetros'!G17/(1+2^(-'⚙ Parámetros'!F17*(Q89-'⚙ Parámetros'!E17))),1)),0)</f>
        <v>3.2222222222222223</v>
      </c>
      <c r="AE89" s="80">
        <f>IFERROR((30/100*MAX('⚙ Parámetros'!D18/(1+2^(-'⚙ Parámetros'!C18*(R89-'⚙ Parámetros'!B18))),'⚙ Parámetros'!G18/(1+2^(-'⚙ Parámetros'!F18*(R89-'⚙ Parámetros'!E18))),1)*R89+30/100*MAX('⚙ Parámetros'!D18/(1+2^(-'⚙ Parámetros'!C18*(S89-'⚙ Parámetros'!B18))),'⚙ Parámetros'!G18/(1+2^(-'⚙ Parámetros'!F18*(S89-'⚙ Parámetros'!E18))),1)*S89+20/100*MAX('⚙ Parámetros'!D18/(1+2^(-'⚙ Parámetros'!C18*(T89-'⚙ Parámetros'!B18))),'⚙ Parámetros'!G18/(1+2^(-'⚙ Parámetros'!F18*(T89-'⚙ Parámetros'!E18))),1)*T89+20/100*MAX('⚙ Parámetros'!D18/(1+2^(-'⚙ Parámetros'!C18*(U89-'⚙ Parámetros'!B18))),'⚙ Parámetros'!G18/(1+2^(-'⚙ Parámetros'!F18*(U89-'⚙ Parámetros'!E18))),1)*U89)/(30/100*MAX('⚙ Parámetros'!D18/(1+2^(-'⚙ Parámetros'!C18*(R89-'⚙ Parámetros'!B18))),'⚙ Parámetros'!G18/(1+2^(-'⚙ Parámetros'!F18*(R89-'⚙ Parámetros'!E18))),1)+30/100*MAX('⚙ Parámetros'!D18/(1+2^(-'⚙ Parámetros'!C18*(S89-'⚙ Parámetros'!B18))),'⚙ Parámetros'!G18/(1+2^(-'⚙ Parámetros'!F18*(S89-'⚙ Parámetros'!E18))),1)+20/100*MAX('⚙ Parámetros'!D18/(1+2^(-'⚙ Parámetros'!C18*(T89-'⚙ Parámetros'!B18))),'⚙ Parámetros'!G18/(1+2^(-'⚙ Parámetros'!F18*(T89-'⚙ Parámetros'!E18))),1)+20/100*MAX('⚙ Parámetros'!D18/(1+2^(-'⚙ Parámetros'!C18*(U89-'⚙ Parámetros'!B18))),'⚙ Parámetros'!G18/(1+2^(-'⚙ Parámetros'!F18*(U89-'⚙ Parámetros'!E18))),1)),0)</f>
        <v>5</v>
      </c>
      <c r="AF89" s="80">
        <f>IFERROR((30/100*MAX('⚙ Parámetros'!D19/(1+2^(-'⚙ Parámetros'!C19*(V89-'⚙ Parámetros'!B19))),'⚙ Parámetros'!G19/(1+2^(-'⚙ Parámetros'!F19*(V89-'⚙ Parámetros'!E19))),1)*V89+35/100*MAX('⚙ Parámetros'!D19/(1+2^(-'⚙ Parámetros'!C19*(W89-'⚙ Parámetros'!B19))),'⚙ Parámetros'!G19/(1+2^(-'⚙ Parámetros'!F19*(W89-'⚙ Parámetros'!E19))),1)*W89+35/100*MAX('⚙ Parámetros'!D19/(1+2^(-'⚙ Parámetros'!C19*(X89-'⚙ Parámetros'!B19))),'⚙ Parámetros'!G19/(1+2^(-'⚙ Parámetros'!F19*(X89-'⚙ Parámetros'!E19))),1)*X89)/(30/100*MAX('⚙ Parámetros'!D19/(1+2^(-'⚙ Parámetros'!C19*(V89-'⚙ Parámetros'!B19))),'⚙ Parámetros'!G19/(1+2^(-'⚙ Parámetros'!F19*(V89-'⚙ Parámetros'!E19))),1)+35/100*MAX('⚙ Parámetros'!D19/(1+2^(-'⚙ Parámetros'!C19*(W89-'⚙ Parámetros'!B19))),'⚙ Parámetros'!G19/(1+2^(-'⚙ Parámetros'!F19*(W89-'⚙ Parámetros'!E19))),1)+35/100*MAX('⚙ Parámetros'!D19/(1+2^(-'⚙ Parámetros'!C19*(X89-'⚙ Parámetros'!B19))),'⚙ Parámetros'!G19/(1+2^(-'⚙ Parámetros'!F19*(X89-'⚙ Parámetros'!E19))),1)),0)</f>
        <v>5.7368421052631575</v>
      </c>
      <c r="AG89" s="80">
        <f>IFERROR((35/100*MAX('⚙ Parámetros'!D20/(1+2^(-'⚙ Parámetros'!C20*(Y89-'⚙ Parámetros'!B20))),'⚙ Parámetros'!G20/(1+2^(-'⚙ Parámetros'!F20*(Y89-'⚙ Parámetros'!E20))),1)*Y89+35/100*MAX('⚙ Parámetros'!D20/(1+2^(-'⚙ Parámetros'!C20*(Z89-'⚙ Parámetros'!B20))),'⚙ Parámetros'!G20/(1+2^(-'⚙ Parámetros'!F20*(Z89-'⚙ Parámetros'!E20))),1)*Z89+30/100*MAX('⚙ Parámetros'!D20/(1+2^(-'⚙ Parámetros'!C20*(AA89-'⚙ Parámetros'!B20))),'⚙ Parámetros'!G20/(1+2^(-'⚙ Parámetros'!F20*(AA89-'⚙ Parámetros'!E20))),1)*AA89)/(35/100*MAX('⚙ Parámetros'!D20/(1+2^(-'⚙ Parámetros'!C20*(Y89-'⚙ Parámetros'!B20))),'⚙ Parámetros'!G20/(1+2^(-'⚙ Parámetros'!F20*(Y89-'⚙ Parámetros'!E20))),1)+35/100*MAX('⚙ Parámetros'!D20/(1+2^(-'⚙ Parámetros'!C20*(Z89-'⚙ Parámetros'!B20))),'⚙ Parámetros'!G20/(1+2^(-'⚙ Parámetros'!F20*(Z89-'⚙ Parámetros'!E20))),1)+30/100*MAX('⚙ Parámetros'!D20/(1+2^(-'⚙ Parámetros'!C20*(AA89-'⚙ Parámetros'!B20))),'⚙ Parámetros'!G20/(1+2^(-'⚙ Parámetros'!F20*(AA89-'⚙ Parámetros'!E20))),1)),0)</f>
        <v>3.7272727272727275</v>
      </c>
      <c r="AH89" s="81">
        <f>('⚙ Parámetros'!B5/100*AB89+'⚙ Parámetros'!B6/100*AC89+'⚙ Parámetros'!B7/100*AD89+'⚙ Parámetros'!B8/100*AE89+'⚙ Parámetros'!B9/100*AF89+'⚙ Parámetros'!B10/100*AG89)</f>
        <v>3.4045457672702262</v>
      </c>
      <c r="AI89" s="33">
        <f ca="1">MIN(1+MAX(0,TODAY()-DATE(2026,1,16))/365*'⚙ Parámetros'!B33,'⚙ Parámetros'!B34)</f>
        <v>1.0604109589041095</v>
      </c>
      <c r="AJ89" s="82">
        <f t="shared" ca="1" si="4"/>
        <v>3.6102176417039478</v>
      </c>
      <c r="AK89" s="83" t="str">
        <f ca="1">IF(AB89&gt;='⚙ Parámetros'!B23,"⚑ AUTO-PRIOR.(D1≥8)",IF(AJ89&gt;='⚙ Parámetros'!B23,"PRIORITARIO",IF(AJ89&gt;='⚙ Parámetros'!B24,"ALTA PRIORIDAD",IF(AJ89&gt;='⚙ Parámetros'!B25,"PRIORIDAD MEDIA",IF(AJ89&gt;='⚙ Parámetros'!B26,"BAJA PRIORIDAD","DESCARTAR")))))</f>
        <v>DESCARTAR</v>
      </c>
      <c r="AL89" s="84" t="str">
        <f t="shared" si="5"/>
        <v>—</v>
      </c>
      <c r="AM89" s="85">
        <v>38</v>
      </c>
      <c r="AN89" s="83" t="str">
        <f>IF(AM89="","—",IF(AM89&lt;'⚙ Parámetros'!B29,"🟢 Corto",IF(AM89&lt;'⚙ Parámetros'!B30,"🟡 Medio","🔴 Largo")))</f>
        <v>🟡 Medio</v>
      </c>
    </row>
    <row r="90" spans="1:40" ht="18.75" customHeight="1" x14ac:dyDescent="0.25">
      <c r="A90" s="69">
        <v>86</v>
      </c>
      <c r="B90" s="30" t="s">
        <v>307</v>
      </c>
      <c r="C90" s="26" t="s">
        <v>138</v>
      </c>
      <c r="D90" s="71" t="s">
        <v>236</v>
      </c>
      <c r="E90" s="72" t="s">
        <v>308</v>
      </c>
      <c r="F90" s="74">
        <v>1</v>
      </c>
      <c r="G90" s="74">
        <v>1</v>
      </c>
      <c r="H90" s="74">
        <v>1</v>
      </c>
      <c r="I90" s="74">
        <v>1</v>
      </c>
      <c r="J90" s="86">
        <v>7</v>
      </c>
      <c r="K90" s="74">
        <v>1</v>
      </c>
      <c r="L90" s="75">
        <v>8</v>
      </c>
      <c r="M90" s="86">
        <v>3</v>
      </c>
      <c r="N90" s="74">
        <v>1</v>
      </c>
      <c r="O90" s="74">
        <v>1</v>
      </c>
      <c r="P90" s="74">
        <v>1</v>
      </c>
      <c r="Q90" s="74">
        <v>1</v>
      </c>
      <c r="R90" s="86">
        <v>5</v>
      </c>
      <c r="S90" s="86">
        <v>5</v>
      </c>
      <c r="T90" s="86">
        <v>5</v>
      </c>
      <c r="U90" s="86">
        <v>5</v>
      </c>
      <c r="V90" s="86">
        <v>5</v>
      </c>
      <c r="W90" s="86">
        <v>6</v>
      </c>
      <c r="X90" s="86">
        <v>3</v>
      </c>
      <c r="Y90" s="86">
        <v>4</v>
      </c>
      <c r="Z90" s="74">
        <v>2</v>
      </c>
      <c r="AA90" s="78">
        <v>8</v>
      </c>
      <c r="AB90" s="89">
        <f>IFERROR((30/100*MAX('⚙ Parámetros'!D15/(1+2^(-'⚙ Parámetros'!C15*(F90-'⚙ Parámetros'!B15))),'⚙ Parámetros'!G15/(1+2^(-'⚙ Parámetros'!F15*(F90-'⚙ Parámetros'!E15))),1)*F90+30/100*MAX('⚙ Parámetros'!D15/(1+2^(-'⚙ Parámetros'!C15*(G90-'⚙ Parámetros'!B15))),'⚙ Parámetros'!G15/(1+2^(-'⚙ Parámetros'!F15*(G90-'⚙ Parámetros'!E15))),1)*G90+20/100*MAX('⚙ Parámetros'!D15/(1+2^(-'⚙ Parámetros'!C15*(H90-'⚙ Parámetros'!B15))),'⚙ Parámetros'!G15/(1+2^(-'⚙ Parámetros'!F15*(H90-'⚙ Parámetros'!E15))),1)*H90+20/100*MAX('⚙ Parámetros'!D15/(1+2^(-'⚙ Parámetros'!C15*(I90-'⚙ Parámetros'!B15))),'⚙ Parámetros'!G15/(1+2^(-'⚙ Parámetros'!F15*(I90-'⚙ Parámetros'!E15))),1)*I90)/(30/100*MAX('⚙ Parámetros'!D15/(1+2^(-'⚙ Parámetros'!C15*(F90-'⚙ Parámetros'!B15))),'⚙ Parámetros'!G15/(1+2^(-'⚙ Parámetros'!F15*(F90-'⚙ Parámetros'!E15))),1)+30/100*MAX('⚙ Parámetros'!D15/(1+2^(-'⚙ Parámetros'!C15*(G90-'⚙ Parámetros'!B15))),'⚙ Parámetros'!G15/(1+2^(-'⚙ Parámetros'!F15*(G90-'⚙ Parámetros'!E15))),1)+20/100*MAX('⚙ Parámetros'!D15/(1+2^(-'⚙ Parámetros'!C15*(H90-'⚙ Parámetros'!B15))),'⚙ Parámetros'!G15/(1+2^(-'⚙ Parámetros'!F15*(H90-'⚙ Parámetros'!E15))),1)+20/100*MAX('⚙ Parámetros'!D15/(1+2^(-'⚙ Parámetros'!C15*(I90-'⚙ Parámetros'!B15))),'⚙ Parámetros'!G15/(1+2^(-'⚙ Parámetros'!F15*(I90-'⚙ Parámetros'!E15))),1)),0)</f>
        <v>1</v>
      </c>
      <c r="AC90" s="89">
        <f>IFERROR((35/100*MAX('⚙ Parámetros'!D16/(1+2^(-'⚙ Parámetros'!C16*(J90-'⚙ Parámetros'!B16))),'⚙ Parámetros'!G16/(1+2^(-'⚙ Parámetros'!F16*(J90-'⚙ Parámetros'!E16))),1)*J90+25/100*MAX('⚙ Parámetros'!D16/(1+2^(-'⚙ Parámetros'!C16*(K90-'⚙ Parámetros'!B16))),'⚙ Parámetros'!G16/(1+2^(-'⚙ Parámetros'!F16*(K90-'⚙ Parámetros'!E16))),1)*K90+20/100*MAX('⚙ Parámetros'!D16/(1+2^(-'⚙ Parámetros'!C16*(L90-'⚙ Parámetros'!B16))),'⚙ Parámetros'!G16/(1+2^(-'⚙ Parámetros'!F16*(L90-'⚙ Parámetros'!E16))),1)*L90+20/100*MAX('⚙ Parámetros'!D16/(1+2^(-'⚙ Parámetros'!C16*(M90-'⚙ Parámetros'!B16))),'⚙ Parámetros'!G16/(1+2^(-'⚙ Parámetros'!F16*(M90-'⚙ Parámetros'!E16))),1)*M90)/(35/100*MAX('⚙ Parámetros'!D16/(1+2^(-'⚙ Parámetros'!C16*(J90-'⚙ Parámetros'!B16))),'⚙ Parámetros'!G16/(1+2^(-'⚙ Parámetros'!F16*(J90-'⚙ Parámetros'!E16))),1)+25/100*MAX('⚙ Parámetros'!D16/(1+2^(-'⚙ Parámetros'!C16*(K90-'⚙ Parámetros'!B16))),'⚙ Parámetros'!G16/(1+2^(-'⚙ Parámetros'!F16*(K90-'⚙ Parámetros'!E16))),1)+20/100*MAX('⚙ Parámetros'!D16/(1+2^(-'⚙ Parámetros'!C16*(L90-'⚙ Parámetros'!B16))),'⚙ Parámetros'!G16/(1+2^(-'⚙ Parámetros'!F16*(L90-'⚙ Parámetros'!E16))),1)+20/100*MAX('⚙ Parámetros'!D16/(1+2^(-'⚙ Parámetros'!C16*(M90-'⚙ Parámetros'!B16))),'⚙ Parámetros'!G16/(1+2^(-'⚙ Parámetros'!F16*(M90-'⚙ Parámetros'!E16))),1)),0)</f>
        <v>6.3868613138686126</v>
      </c>
      <c r="AD90" s="89">
        <f>IFERROR((30/100*MAX('⚙ Parámetros'!D17/(1+2^(-'⚙ Parámetros'!C17*(N90-'⚙ Parámetros'!B17))),'⚙ Parámetros'!G17/(1+2^(-'⚙ Parámetros'!F17*(N90-'⚙ Parámetros'!E17))),1)*N90+25/100*MAX('⚙ Parámetros'!D17/(1+2^(-'⚙ Parámetros'!C17*(O90-'⚙ Parámetros'!B17))),'⚙ Parámetros'!G17/(1+2^(-'⚙ Parámetros'!F17*(O90-'⚙ Parámetros'!E17))),1)*O90+25/100*MAX('⚙ Parámetros'!D17/(1+2^(-'⚙ Parámetros'!C17*(P90-'⚙ Parámetros'!B17))),'⚙ Parámetros'!G17/(1+2^(-'⚙ Parámetros'!F17*(P90-'⚙ Parámetros'!E17))),1)*P90+20/100*MAX('⚙ Parámetros'!D17/(1+2^(-'⚙ Parámetros'!C17*(Q90-'⚙ Parámetros'!B17))),'⚙ Parámetros'!G17/(1+2^(-'⚙ Parámetros'!F17*(Q90-'⚙ Parámetros'!E17))),1)*Q90)/(30/100*MAX('⚙ Parámetros'!D17/(1+2^(-'⚙ Parámetros'!C17*(N90-'⚙ Parámetros'!B17))),'⚙ Parámetros'!G17/(1+2^(-'⚙ Parámetros'!F17*(N90-'⚙ Parámetros'!E17))),1)+25/100*MAX('⚙ Parámetros'!D17/(1+2^(-'⚙ Parámetros'!C17*(O90-'⚙ Parámetros'!B17))),'⚙ Parámetros'!G17/(1+2^(-'⚙ Parámetros'!F17*(O90-'⚙ Parámetros'!E17))),1)+25/100*MAX('⚙ Parámetros'!D17/(1+2^(-'⚙ Parámetros'!C17*(P90-'⚙ Parámetros'!B17))),'⚙ Parámetros'!G17/(1+2^(-'⚙ Parámetros'!F17*(P90-'⚙ Parámetros'!E17))),1)+20/100*MAX('⚙ Parámetros'!D17/(1+2^(-'⚙ Parámetros'!C17*(Q90-'⚙ Parámetros'!B17))),'⚙ Parámetros'!G17/(1+2^(-'⚙ Parámetros'!F17*(Q90-'⚙ Parámetros'!E17))),1)),0)</f>
        <v>1</v>
      </c>
      <c r="AE90" s="89">
        <f>IFERROR((30/100*MAX('⚙ Parámetros'!D18/(1+2^(-'⚙ Parámetros'!C18*(R90-'⚙ Parámetros'!B18))),'⚙ Parámetros'!G18/(1+2^(-'⚙ Parámetros'!F18*(R90-'⚙ Parámetros'!E18))),1)*R90+30/100*MAX('⚙ Parámetros'!D18/(1+2^(-'⚙ Parámetros'!C18*(S90-'⚙ Parámetros'!B18))),'⚙ Parámetros'!G18/(1+2^(-'⚙ Parámetros'!F18*(S90-'⚙ Parámetros'!E18))),1)*S90+20/100*MAX('⚙ Parámetros'!D18/(1+2^(-'⚙ Parámetros'!C18*(T90-'⚙ Parámetros'!B18))),'⚙ Parámetros'!G18/(1+2^(-'⚙ Parámetros'!F18*(T90-'⚙ Parámetros'!E18))),1)*T90+20/100*MAX('⚙ Parámetros'!D18/(1+2^(-'⚙ Parámetros'!C18*(U90-'⚙ Parámetros'!B18))),'⚙ Parámetros'!G18/(1+2^(-'⚙ Parámetros'!F18*(U90-'⚙ Parámetros'!E18))),1)*U90)/(30/100*MAX('⚙ Parámetros'!D18/(1+2^(-'⚙ Parámetros'!C18*(R90-'⚙ Parámetros'!B18))),'⚙ Parámetros'!G18/(1+2^(-'⚙ Parámetros'!F18*(R90-'⚙ Parámetros'!E18))),1)+30/100*MAX('⚙ Parámetros'!D18/(1+2^(-'⚙ Parámetros'!C18*(S90-'⚙ Parámetros'!B18))),'⚙ Parámetros'!G18/(1+2^(-'⚙ Parámetros'!F18*(S90-'⚙ Parámetros'!E18))),1)+20/100*MAX('⚙ Parámetros'!D18/(1+2^(-'⚙ Parámetros'!C18*(T90-'⚙ Parámetros'!B18))),'⚙ Parámetros'!G18/(1+2^(-'⚙ Parámetros'!F18*(T90-'⚙ Parámetros'!E18))),1)+20/100*MAX('⚙ Parámetros'!D18/(1+2^(-'⚙ Parámetros'!C18*(U90-'⚙ Parámetros'!B18))),'⚙ Parámetros'!G18/(1+2^(-'⚙ Parámetros'!F18*(U90-'⚙ Parámetros'!E18))),1)),0)</f>
        <v>5</v>
      </c>
      <c r="AF90" s="89">
        <f>IFERROR((30/100*MAX('⚙ Parámetros'!D19/(1+2^(-'⚙ Parámetros'!C19*(V90-'⚙ Parámetros'!B19))),'⚙ Parámetros'!G19/(1+2^(-'⚙ Parámetros'!F19*(V90-'⚙ Parámetros'!E19))),1)*V90+35/100*MAX('⚙ Parámetros'!D19/(1+2^(-'⚙ Parámetros'!C19*(W90-'⚙ Parámetros'!B19))),'⚙ Parámetros'!G19/(1+2^(-'⚙ Parámetros'!F19*(W90-'⚙ Parámetros'!E19))),1)*W90+35/100*MAX('⚙ Parámetros'!D19/(1+2^(-'⚙ Parámetros'!C19*(X90-'⚙ Parámetros'!B19))),'⚙ Parámetros'!G19/(1+2^(-'⚙ Parámetros'!F19*(X90-'⚙ Parámetros'!E19))),1)*X90)/(30/100*MAX('⚙ Parámetros'!D19/(1+2^(-'⚙ Parámetros'!C19*(V90-'⚙ Parámetros'!B19))),'⚙ Parámetros'!G19/(1+2^(-'⚙ Parámetros'!F19*(V90-'⚙ Parámetros'!E19))),1)+35/100*MAX('⚙ Parámetros'!D19/(1+2^(-'⚙ Parámetros'!C19*(W90-'⚙ Parámetros'!B19))),'⚙ Parámetros'!G19/(1+2^(-'⚙ Parámetros'!F19*(W90-'⚙ Parámetros'!E19))),1)+35/100*MAX('⚙ Parámetros'!D19/(1+2^(-'⚙ Parámetros'!C19*(X90-'⚙ Parámetros'!B19))),'⚙ Parámetros'!G19/(1+2^(-'⚙ Parámetros'!F19*(X90-'⚙ Parámetros'!E19))),1)),0)</f>
        <v>5.0782122905027931</v>
      </c>
      <c r="AG90" s="89">
        <f>IFERROR((35/100*MAX('⚙ Parámetros'!D20/(1+2^(-'⚙ Parámetros'!C20*(Y90-'⚙ Parámetros'!B20))),'⚙ Parámetros'!G20/(1+2^(-'⚙ Parámetros'!F20*(Y90-'⚙ Parámetros'!E20))),1)*Y90+35/100*MAX('⚙ Parámetros'!D20/(1+2^(-'⚙ Parámetros'!C20*(Z90-'⚙ Parámetros'!B20))),'⚙ Parámetros'!G20/(1+2^(-'⚙ Parámetros'!F20*(Z90-'⚙ Parámetros'!E20))),1)*Z90+30/100*MAX('⚙ Parámetros'!D20/(1+2^(-'⚙ Parámetros'!C20*(AA90-'⚙ Parámetros'!B20))),'⚙ Parámetros'!G20/(1+2^(-'⚙ Parámetros'!F20*(AA90-'⚙ Parámetros'!E20))),1)*AA90)/(35/100*MAX('⚙ Parámetros'!D20/(1+2^(-'⚙ Parámetros'!C20*(Y90-'⚙ Parámetros'!B20))),'⚙ Parámetros'!G20/(1+2^(-'⚙ Parámetros'!F20*(Y90-'⚙ Parámetros'!E20))),1)+35/100*MAX('⚙ Parámetros'!D20/(1+2^(-'⚙ Parámetros'!C20*(Z90-'⚙ Parámetros'!B20))),'⚙ Parámetros'!G20/(1+2^(-'⚙ Parámetros'!F20*(Z90-'⚙ Parámetros'!E20))),1)+30/100*MAX('⚙ Parámetros'!D20/(1+2^(-'⚙ Parámetros'!C20*(AA90-'⚙ Parámetros'!B20))),'⚙ Parámetros'!G20/(1+2^(-'⚙ Parámetros'!F20*(AA90-'⚙ Parámetros'!E20))),1)),0)</f>
        <v>5.8125</v>
      </c>
      <c r="AH90" s="90">
        <f>('⚙ Parámetros'!B5/100*AB90+'⚙ Parámetros'!B6/100*AC90+'⚙ Parámetros'!B7/100*AD90+'⚙ Parámetros'!B8/100*AE90+'⚙ Parámetros'!B9/100*AF90+'⚙ Parámetros'!B10/100*AG90)</f>
        <v>3.3501934918240019</v>
      </c>
      <c r="AI90" s="91">
        <f ca="1">MIN(1+MAX(0,TODAY()-DATE(2025,6,12))/365*'⚙ Parámetros'!B33,'⚙ Parámetros'!B34)</f>
        <v>1.1499999999999999</v>
      </c>
      <c r="AJ90" s="82">
        <f t="shared" ca="1" si="4"/>
        <v>3.8527225155976019</v>
      </c>
      <c r="AK90" s="92" t="str">
        <f ca="1">IF(AB90&gt;='⚙ Parámetros'!B23,"⚑ AUTO-PRIOR.(D1≥8)",IF(AJ90&gt;='⚙ Parámetros'!B23,"PRIORITARIO",IF(AJ90&gt;='⚙ Parámetros'!B24,"ALTA PRIORIDAD",IF(AJ90&gt;='⚙ Parámetros'!B25,"PRIORIDAD MEDIA",IF(AJ90&gt;='⚙ Parámetros'!B26,"BAJA PRIORIDAD","DESCARTAR")))))</f>
        <v>DESCARTAR</v>
      </c>
      <c r="AL90" s="69" t="str">
        <f t="shared" si="5"/>
        <v>—</v>
      </c>
      <c r="AM90" s="85">
        <v>47</v>
      </c>
      <c r="AN90" s="83" t="str">
        <f>IF(AM90="","—",IF(AM90&lt;'⚙ Parámetros'!B29,"🟢 Corto",IF(AM90&lt;'⚙ Parámetros'!B30,"🟡 Medio","🔴 Largo")))</f>
        <v>🟡 Medio</v>
      </c>
    </row>
    <row r="91" spans="1:40" ht="18.75" customHeight="1" x14ac:dyDescent="0.25">
      <c r="A91" s="69">
        <v>87</v>
      </c>
      <c r="B91" s="70" t="s">
        <v>309</v>
      </c>
      <c r="C91" s="4" t="s">
        <v>138</v>
      </c>
      <c r="D91" s="71" t="s">
        <v>136</v>
      </c>
      <c r="E91" s="72" t="s">
        <v>258</v>
      </c>
      <c r="F91" s="74">
        <v>1</v>
      </c>
      <c r="G91" s="74">
        <v>1</v>
      </c>
      <c r="H91" s="74">
        <v>1</v>
      </c>
      <c r="I91" s="74">
        <v>1</v>
      </c>
      <c r="J91" s="74">
        <v>1</v>
      </c>
      <c r="K91" s="74">
        <v>1</v>
      </c>
      <c r="L91" s="74">
        <v>1</v>
      </c>
      <c r="M91" s="73">
        <v>3</v>
      </c>
      <c r="N91" s="73">
        <v>7</v>
      </c>
      <c r="O91" s="87">
        <v>8</v>
      </c>
      <c r="P91" s="74">
        <v>1</v>
      </c>
      <c r="Q91" s="74">
        <v>1</v>
      </c>
      <c r="R91" s="73">
        <v>5</v>
      </c>
      <c r="S91" s="73">
        <v>5</v>
      </c>
      <c r="T91" s="73">
        <v>5</v>
      </c>
      <c r="U91" s="73">
        <v>5</v>
      </c>
      <c r="V91" s="73">
        <v>5</v>
      </c>
      <c r="W91" s="73">
        <v>6</v>
      </c>
      <c r="X91" s="73">
        <v>6</v>
      </c>
      <c r="Y91" s="73">
        <v>4</v>
      </c>
      <c r="Z91" s="74">
        <v>2</v>
      </c>
      <c r="AA91" s="73">
        <v>5</v>
      </c>
      <c r="AB91" s="80">
        <f>IFERROR((30/100*MAX('⚙ Parámetros'!D15/(1+2^(-'⚙ Parámetros'!C15*(F91-'⚙ Parámetros'!B15))),'⚙ Parámetros'!G15/(1+2^(-'⚙ Parámetros'!F15*(F91-'⚙ Parámetros'!E15))),1)*F91+30/100*MAX('⚙ Parámetros'!D15/(1+2^(-'⚙ Parámetros'!C15*(G91-'⚙ Parámetros'!B15))),'⚙ Parámetros'!G15/(1+2^(-'⚙ Parámetros'!F15*(G91-'⚙ Parámetros'!E15))),1)*G91+20/100*MAX('⚙ Parámetros'!D15/(1+2^(-'⚙ Parámetros'!C15*(H91-'⚙ Parámetros'!B15))),'⚙ Parámetros'!G15/(1+2^(-'⚙ Parámetros'!F15*(H91-'⚙ Parámetros'!E15))),1)*H91+20/100*MAX('⚙ Parámetros'!D15/(1+2^(-'⚙ Parámetros'!C15*(I91-'⚙ Parámetros'!B15))),'⚙ Parámetros'!G15/(1+2^(-'⚙ Parámetros'!F15*(I91-'⚙ Parámetros'!E15))),1)*I91)/(30/100*MAX('⚙ Parámetros'!D15/(1+2^(-'⚙ Parámetros'!C15*(F91-'⚙ Parámetros'!B15))),'⚙ Parámetros'!G15/(1+2^(-'⚙ Parámetros'!F15*(F91-'⚙ Parámetros'!E15))),1)+30/100*MAX('⚙ Parámetros'!D15/(1+2^(-'⚙ Parámetros'!C15*(G91-'⚙ Parámetros'!B15))),'⚙ Parámetros'!G15/(1+2^(-'⚙ Parámetros'!F15*(G91-'⚙ Parámetros'!E15))),1)+20/100*MAX('⚙ Parámetros'!D15/(1+2^(-'⚙ Parámetros'!C15*(H91-'⚙ Parámetros'!B15))),'⚙ Parámetros'!G15/(1+2^(-'⚙ Parámetros'!F15*(H91-'⚙ Parámetros'!E15))),1)+20/100*MAX('⚙ Parámetros'!D15/(1+2^(-'⚙ Parámetros'!C15*(I91-'⚙ Parámetros'!B15))),'⚙ Parámetros'!G15/(1+2^(-'⚙ Parámetros'!F15*(I91-'⚙ Parámetros'!E15))),1)),0)</f>
        <v>1</v>
      </c>
      <c r="AC91" s="80">
        <f>IFERROR((35/100*MAX('⚙ Parámetros'!D16/(1+2^(-'⚙ Parámetros'!C16*(J91-'⚙ Parámetros'!B16))),'⚙ Parámetros'!G16/(1+2^(-'⚙ Parámetros'!F16*(J91-'⚙ Parámetros'!E16))),1)*J91+25/100*MAX('⚙ Parámetros'!D16/(1+2^(-'⚙ Parámetros'!C16*(K91-'⚙ Parámetros'!B16))),'⚙ Parámetros'!G16/(1+2^(-'⚙ Parámetros'!F16*(K91-'⚙ Parámetros'!E16))),1)*K91+20/100*MAX('⚙ Parámetros'!D16/(1+2^(-'⚙ Parámetros'!C16*(L91-'⚙ Parámetros'!B16))),'⚙ Parámetros'!G16/(1+2^(-'⚙ Parámetros'!F16*(L91-'⚙ Parámetros'!E16))),1)*L91+20/100*MAX('⚙ Parámetros'!D16/(1+2^(-'⚙ Parámetros'!C16*(M91-'⚙ Parámetros'!B16))),'⚙ Parámetros'!G16/(1+2^(-'⚙ Parámetros'!F16*(M91-'⚙ Parámetros'!E16))),1)*M91)/(35/100*MAX('⚙ Parámetros'!D16/(1+2^(-'⚙ Parámetros'!C16*(J91-'⚙ Parámetros'!B16))),'⚙ Parámetros'!G16/(1+2^(-'⚙ Parámetros'!F16*(J91-'⚙ Parámetros'!E16))),1)+25/100*MAX('⚙ Parámetros'!D16/(1+2^(-'⚙ Parámetros'!C16*(K91-'⚙ Parámetros'!B16))),'⚙ Parámetros'!G16/(1+2^(-'⚙ Parámetros'!F16*(K91-'⚙ Parámetros'!E16))),1)+20/100*MAX('⚙ Parámetros'!D16/(1+2^(-'⚙ Parámetros'!C16*(L91-'⚙ Parámetros'!B16))),'⚙ Parámetros'!G16/(1+2^(-'⚙ Parámetros'!F16*(L91-'⚙ Parámetros'!E16))),1)+20/100*MAX('⚙ Parámetros'!D16/(1+2^(-'⚙ Parámetros'!C16*(M91-'⚙ Parámetros'!B16))),'⚙ Parámetros'!G16/(1+2^(-'⚙ Parámetros'!F16*(M91-'⚙ Parámetros'!E16))),1)),0)</f>
        <v>1.4000000000000001</v>
      </c>
      <c r="AD91" s="80">
        <f>IFERROR((30/100*MAX('⚙ Parámetros'!D17/(1+2^(-'⚙ Parámetros'!C17*(N91-'⚙ Parámetros'!B17))),'⚙ Parámetros'!G17/(1+2^(-'⚙ Parámetros'!F17*(N91-'⚙ Parámetros'!E17))),1)*N91+25/100*MAX('⚙ Parámetros'!D17/(1+2^(-'⚙ Parámetros'!C17*(O91-'⚙ Parámetros'!B17))),'⚙ Parámetros'!G17/(1+2^(-'⚙ Parámetros'!F17*(O91-'⚙ Parámetros'!E17))),1)*O91+25/100*MAX('⚙ Parámetros'!D17/(1+2^(-'⚙ Parámetros'!C17*(P91-'⚙ Parámetros'!B17))),'⚙ Parámetros'!G17/(1+2^(-'⚙ Parámetros'!F17*(P91-'⚙ Parámetros'!E17))),1)*P91+20/100*MAX('⚙ Parámetros'!D17/(1+2^(-'⚙ Parámetros'!C17*(Q91-'⚙ Parámetros'!B17))),'⚙ Parámetros'!G17/(1+2^(-'⚙ Parámetros'!F17*(Q91-'⚙ Parámetros'!E17))),1)*Q91)/(30/100*MAX('⚙ Parámetros'!D17/(1+2^(-'⚙ Parámetros'!C17*(N91-'⚙ Parámetros'!B17))),'⚙ Parámetros'!G17/(1+2^(-'⚙ Parámetros'!F17*(N91-'⚙ Parámetros'!E17))),1)+25/100*MAX('⚙ Parámetros'!D17/(1+2^(-'⚙ Parámetros'!C17*(O91-'⚙ Parámetros'!B17))),'⚙ Parámetros'!G17/(1+2^(-'⚙ Parámetros'!F17*(O91-'⚙ Parámetros'!E17))),1)+25/100*MAX('⚙ Parámetros'!D17/(1+2^(-'⚙ Parámetros'!C17*(P91-'⚙ Parámetros'!B17))),'⚙ Parámetros'!G17/(1+2^(-'⚙ Parámetros'!F17*(P91-'⚙ Parámetros'!E17))),1)+20/100*MAX('⚙ Parámetros'!D17/(1+2^(-'⚙ Parámetros'!C17*(Q91-'⚙ Parámetros'!B17))),'⚙ Parámetros'!G17/(1+2^(-'⚙ Parámetros'!F17*(Q91-'⚙ Parámetros'!E17))),1)),0)</f>
        <v>6.2444444444444436</v>
      </c>
      <c r="AE91" s="80">
        <f>IFERROR((30/100*MAX('⚙ Parámetros'!D18/(1+2^(-'⚙ Parámetros'!C18*(R91-'⚙ Parámetros'!B18))),'⚙ Parámetros'!G18/(1+2^(-'⚙ Parámetros'!F18*(R91-'⚙ Parámetros'!E18))),1)*R91+30/100*MAX('⚙ Parámetros'!D18/(1+2^(-'⚙ Parámetros'!C18*(S91-'⚙ Parámetros'!B18))),'⚙ Parámetros'!G18/(1+2^(-'⚙ Parámetros'!F18*(S91-'⚙ Parámetros'!E18))),1)*S91+20/100*MAX('⚙ Parámetros'!D18/(1+2^(-'⚙ Parámetros'!C18*(T91-'⚙ Parámetros'!B18))),'⚙ Parámetros'!G18/(1+2^(-'⚙ Parámetros'!F18*(T91-'⚙ Parámetros'!E18))),1)*T91+20/100*MAX('⚙ Parámetros'!D18/(1+2^(-'⚙ Parámetros'!C18*(U91-'⚙ Parámetros'!B18))),'⚙ Parámetros'!G18/(1+2^(-'⚙ Parámetros'!F18*(U91-'⚙ Parámetros'!E18))),1)*U91)/(30/100*MAX('⚙ Parámetros'!D18/(1+2^(-'⚙ Parámetros'!C18*(R91-'⚙ Parámetros'!B18))),'⚙ Parámetros'!G18/(1+2^(-'⚙ Parámetros'!F18*(R91-'⚙ Parámetros'!E18))),1)+30/100*MAX('⚙ Parámetros'!D18/(1+2^(-'⚙ Parámetros'!C18*(S91-'⚙ Parámetros'!B18))),'⚙ Parámetros'!G18/(1+2^(-'⚙ Parámetros'!F18*(S91-'⚙ Parámetros'!E18))),1)+20/100*MAX('⚙ Parámetros'!D18/(1+2^(-'⚙ Parámetros'!C18*(T91-'⚙ Parámetros'!B18))),'⚙ Parámetros'!G18/(1+2^(-'⚙ Parámetros'!F18*(T91-'⚙ Parámetros'!E18))),1)+20/100*MAX('⚙ Parámetros'!D18/(1+2^(-'⚙ Parámetros'!C18*(U91-'⚙ Parámetros'!B18))),'⚙ Parámetros'!G18/(1+2^(-'⚙ Parámetros'!F18*(U91-'⚙ Parámetros'!E18))),1)),0)</f>
        <v>5</v>
      </c>
      <c r="AF91" s="80">
        <f>IFERROR((30/100*MAX('⚙ Parámetros'!D19/(1+2^(-'⚙ Parámetros'!C19*(V91-'⚙ Parámetros'!B19))),'⚙ Parámetros'!G19/(1+2^(-'⚙ Parámetros'!F19*(V91-'⚙ Parámetros'!E19))),1)*V91+35/100*MAX('⚙ Parámetros'!D19/(1+2^(-'⚙ Parámetros'!C19*(W91-'⚙ Parámetros'!B19))),'⚙ Parámetros'!G19/(1+2^(-'⚙ Parámetros'!F19*(W91-'⚙ Parámetros'!E19))),1)*W91+35/100*MAX('⚙ Parámetros'!D19/(1+2^(-'⚙ Parámetros'!C19*(X91-'⚙ Parámetros'!B19))),'⚙ Parámetros'!G19/(1+2^(-'⚙ Parámetros'!F19*(X91-'⚙ Parámetros'!E19))),1)*X91)/(30/100*MAX('⚙ Parámetros'!D19/(1+2^(-'⚙ Parámetros'!C19*(V91-'⚙ Parámetros'!B19))),'⚙ Parámetros'!G19/(1+2^(-'⚙ Parámetros'!F19*(V91-'⚙ Parámetros'!E19))),1)+35/100*MAX('⚙ Parámetros'!D19/(1+2^(-'⚙ Parámetros'!C19*(W91-'⚙ Parámetros'!B19))),'⚙ Parámetros'!G19/(1+2^(-'⚙ Parámetros'!F19*(W91-'⚙ Parámetros'!E19))),1)+35/100*MAX('⚙ Parámetros'!D19/(1+2^(-'⚙ Parámetros'!C19*(X91-'⚙ Parámetros'!B19))),'⚙ Parámetros'!G19/(1+2^(-'⚙ Parámetros'!F19*(X91-'⚙ Parámetros'!E19))),1)),0)</f>
        <v>5.7368421052631575</v>
      </c>
      <c r="AG91" s="80">
        <f>IFERROR((35/100*MAX('⚙ Parámetros'!D20/(1+2^(-'⚙ Parámetros'!C20*(Y91-'⚙ Parámetros'!B20))),'⚙ Parámetros'!G20/(1+2^(-'⚙ Parámetros'!F20*(Y91-'⚙ Parámetros'!E20))),1)*Y91+35/100*MAX('⚙ Parámetros'!D20/(1+2^(-'⚙ Parámetros'!C20*(Z91-'⚙ Parámetros'!B20))),'⚙ Parámetros'!G20/(1+2^(-'⚙ Parámetros'!F20*(Z91-'⚙ Parámetros'!E20))),1)*Z91+30/100*MAX('⚙ Parámetros'!D20/(1+2^(-'⚙ Parámetros'!C20*(AA91-'⚙ Parámetros'!B20))),'⚙ Parámetros'!G20/(1+2^(-'⚙ Parámetros'!F20*(AA91-'⚙ Parámetros'!E20))),1)*AA91)/(35/100*MAX('⚙ Parámetros'!D20/(1+2^(-'⚙ Parámetros'!C20*(Y91-'⚙ Parámetros'!B20))),'⚙ Parámetros'!G20/(1+2^(-'⚙ Parámetros'!F20*(Y91-'⚙ Parámetros'!E20))),1)+35/100*MAX('⚙ Parámetros'!D20/(1+2^(-'⚙ Parámetros'!C20*(Z91-'⚙ Parámetros'!B20))),'⚙ Parámetros'!G20/(1+2^(-'⚙ Parámetros'!F20*(Z91-'⚙ Parámetros'!E20))),1)+30/100*MAX('⚙ Parámetros'!D20/(1+2^(-'⚙ Parámetros'!C20*(AA91-'⚙ Parámetros'!B20))),'⚙ Parámetros'!G20/(1+2^(-'⚙ Parámetros'!F20*(AA91-'⚙ Parámetros'!E20))),1)),0)</f>
        <v>3.7272727272727275</v>
      </c>
      <c r="AH91" s="81">
        <f>('⚙ Parámetros'!B5/100*AB91+'⚙ Parámetros'!B6/100*AC91+'⚙ Parámetros'!B7/100*AD91+'⚙ Parámetros'!B8/100*AE91+'⚙ Parámetros'!B9/100*AF91+'⚙ Parámetros'!B10/100*AG91)</f>
        <v>3.3007549175970232</v>
      </c>
      <c r="AI91" s="33">
        <f ca="1">MIN(1+MAX(0,TODAY()-DATE(2026,4,17))/365*'⚙ Parámetros'!B33,'⚙ Parámetros'!B34)</f>
        <v>1.023013698630137</v>
      </c>
      <c r="AJ91" s="82">
        <f t="shared" ca="1" si="4"/>
        <v>3.3767174965225437</v>
      </c>
      <c r="AK91" s="83" t="str">
        <f ca="1">IF(AB91&gt;='⚙ Parámetros'!B23,"⚑ AUTO-PRIOR.(D1≥8)",IF(AJ91&gt;='⚙ Parámetros'!B23,"PRIORITARIO",IF(AJ91&gt;='⚙ Parámetros'!B24,"ALTA PRIORIDAD",IF(AJ91&gt;='⚙ Parámetros'!B25,"PRIORIDAD MEDIA",IF(AJ91&gt;='⚙ Parámetros'!B26,"BAJA PRIORIDAD","DESCARTAR")))))</f>
        <v>DESCARTAR</v>
      </c>
      <c r="AL91" s="84" t="str">
        <f t="shared" si="5"/>
        <v>—</v>
      </c>
      <c r="AM91" s="85">
        <v>39</v>
      </c>
      <c r="AN91" s="83" t="str">
        <f>IF(AM91="","—",IF(AM91&lt;'⚙ Parámetros'!B29,"🟢 Corto",IF(AM91&lt;'⚙ Parámetros'!B30,"🟡 Medio","🔴 Largo")))</f>
        <v>🟡 Medio</v>
      </c>
    </row>
    <row r="92" spans="1:40" ht="18.75" customHeight="1" x14ac:dyDescent="0.25">
      <c r="A92" s="69">
        <v>88</v>
      </c>
      <c r="B92" s="30" t="s">
        <v>310</v>
      </c>
      <c r="C92" s="26" t="s">
        <v>135</v>
      </c>
      <c r="D92" s="71" t="s">
        <v>243</v>
      </c>
      <c r="E92" s="72" t="s">
        <v>311</v>
      </c>
      <c r="F92" s="74">
        <v>1</v>
      </c>
      <c r="G92" s="74">
        <v>1</v>
      </c>
      <c r="H92" s="74">
        <v>1</v>
      </c>
      <c r="I92" s="74">
        <v>1</v>
      </c>
      <c r="J92" s="74">
        <v>1</v>
      </c>
      <c r="K92" s="74">
        <v>1</v>
      </c>
      <c r="L92" s="74">
        <v>1</v>
      </c>
      <c r="M92" s="86">
        <v>3</v>
      </c>
      <c r="N92" s="86">
        <v>7</v>
      </c>
      <c r="O92" s="74">
        <v>1</v>
      </c>
      <c r="P92" s="74">
        <v>1</v>
      </c>
      <c r="Q92" s="74">
        <v>1</v>
      </c>
      <c r="R92" s="76">
        <v>9</v>
      </c>
      <c r="S92" s="76">
        <v>9</v>
      </c>
      <c r="T92" s="86">
        <v>5</v>
      </c>
      <c r="U92" s="86">
        <v>5</v>
      </c>
      <c r="V92" s="86">
        <v>5</v>
      </c>
      <c r="W92" s="86">
        <v>6</v>
      </c>
      <c r="X92" s="86">
        <v>6</v>
      </c>
      <c r="Y92" s="86">
        <v>4</v>
      </c>
      <c r="Z92" s="74">
        <v>2</v>
      </c>
      <c r="AA92" s="86">
        <v>5</v>
      </c>
      <c r="AB92" s="89">
        <f>IFERROR((30/100*MAX('⚙ Parámetros'!D15/(1+2^(-'⚙ Parámetros'!C15*(F92-'⚙ Parámetros'!B15))),'⚙ Parámetros'!G15/(1+2^(-'⚙ Parámetros'!F15*(F92-'⚙ Parámetros'!E15))),1)*F92+30/100*MAX('⚙ Parámetros'!D15/(1+2^(-'⚙ Parámetros'!C15*(G92-'⚙ Parámetros'!B15))),'⚙ Parámetros'!G15/(1+2^(-'⚙ Parámetros'!F15*(G92-'⚙ Parámetros'!E15))),1)*G92+20/100*MAX('⚙ Parámetros'!D15/(1+2^(-'⚙ Parámetros'!C15*(H92-'⚙ Parámetros'!B15))),'⚙ Parámetros'!G15/(1+2^(-'⚙ Parámetros'!F15*(H92-'⚙ Parámetros'!E15))),1)*H92+20/100*MAX('⚙ Parámetros'!D15/(1+2^(-'⚙ Parámetros'!C15*(I92-'⚙ Parámetros'!B15))),'⚙ Parámetros'!G15/(1+2^(-'⚙ Parámetros'!F15*(I92-'⚙ Parámetros'!E15))),1)*I92)/(30/100*MAX('⚙ Parámetros'!D15/(1+2^(-'⚙ Parámetros'!C15*(F92-'⚙ Parámetros'!B15))),'⚙ Parámetros'!G15/(1+2^(-'⚙ Parámetros'!F15*(F92-'⚙ Parámetros'!E15))),1)+30/100*MAX('⚙ Parámetros'!D15/(1+2^(-'⚙ Parámetros'!C15*(G92-'⚙ Parámetros'!B15))),'⚙ Parámetros'!G15/(1+2^(-'⚙ Parámetros'!F15*(G92-'⚙ Parámetros'!E15))),1)+20/100*MAX('⚙ Parámetros'!D15/(1+2^(-'⚙ Parámetros'!C15*(H92-'⚙ Parámetros'!B15))),'⚙ Parámetros'!G15/(1+2^(-'⚙ Parámetros'!F15*(H92-'⚙ Parámetros'!E15))),1)+20/100*MAX('⚙ Parámetros'!D15/(1+2^(-'⚙ Parámetros'!C15*(I92-'⚙ Parámetros'!B15))),'⚙ Parámetros'!G15/(1+2^(-'⚙ Parámetros'!F15*(I92-'⚙ Parámetros'!E15))),1)),0)</f>
        <v>1</v>
      </c>
      <c r="AC92" s="89">
        <f>IFERROR((35/100*MAX('⚙ Parámetros'!D16/(1+2^(-'⚙ Parámetros'!C16*(J92-'⚙ Parámetros'!B16))),'⚙ Parámetros'!G16/(1+2^(-'⚙ Parámetros'!F16*(J92-'⚙ Parámetros'!E16))),1)*J92+25/100*MAX('⚙ Parámetros'!D16/(1+2^(-'⚙ Parámetros'!C16*(K92-'⚙ Parámetros'!B16))),'⚙ Parámetros'!G16/(1+2^(-'⚙ Parámetros'!F16*(K92-'⚙ Parámetros'!E16))),1)*K92+20/100*MAX('⚙ Parámetros'!D16/(1+2^(-'⚙ Parámetros'!C16*(L92-'⚙ Parámetros'!B16))),'⚙ Parámetros'!G16/(1+2^(-'⚙ Parámetros'!F16*(L92-'⚙ Parámetros'!E16))),1)*L92+20/100*MAX('⚙ Parámetros'!D16/(1+2^(-'⚙ Parámetros'!C16*(M92-'⚙ Parámetros'!B16))),'⚙ Parámetros'!G16/(1+2^(-'⚙ Parámetros'!F16*(M92-'⚙ Parámetros'!E16))),1)*M92)/(35/100*MAX('⚙ Parámetros'!D16/(1+2^(-'⚙ Parámetros'!C16*(J92-'⚙ Parámetros'!B16))),'⚙ Parámetros'!G16/(1+2^(-'⚙ Parámetros'!F16*(J92-'⚙ Parámetros'!E16))),1)+25/100*MAX('⚙ Parámetros'!D16/(1+2^(-'⚙ Parámetros'!C16*(K92-'⚙ Parámetros'!B16))),'⚙ Parámetros'!G16/(1+2^(-'⚙ Parámetros'!F16*(K92-'⚙ Parámetros'!E16))),1)+20/100*MAX('⚙ Parámetros'!D16/(1+2^(-'⚙ Parámetros'!C16*(L92-'⚙ Parámetros'!B16))),'⚙ Parámetros'!G16/(1+2^(-'⚙ Parámetros'!F16*(L92-'⚙ Parámetros'!E16))),1)+20/100*MAX('⚙ Parámetros'!D16/(1+2^(-'⚙ Parámetros'!C16*(M92-'⚙ Parámetros'!B16))),'⚙ Parámetros'!G16/(1+2^(-'⚙ Parámetros'!F16*(M92-'⚙ Parámetros'!E16))),1)),0)</f>
        <v>1.4000000000000001</v>
      </c>
      <c r="AD92" s="89">
        <f>IFERROR((30/100*MAX('⚙ Parámetros'!D17/(1+2^(-'⚙ Parámetros'!C17*(N92-'⚙ Parámetros'!B17))),'⚙ Parámetros'!G17/(1+2^(-'⚙ Parámetros'!F17*(N92-'⚙ Parámetros'!E17))),1)*N92+25/100*MAX('⚙ Parámetros'!D17/(1+2^(-'⚙ Parámetros'!C17*(O92-'⚙ Parámetros'!B17))),'⚙ Parámetros'!G17/(1+2^(-'⚙ Parámetros'!F17*(O92-'⚙ Parámetros'!E17))),1)*O92+25/100*MAX('⚙ Parámetros'!D17/(1+2^(-'⚙ Parámetros'!C17*(P92-'⚙ Parámetros'!B17))),'⚙ Parámetros'!G17/(1+2^(-'⚙ Parámetros'!F17*(P92-'⚙ Parámetros'!E17))),1)*P92+20/100*MAX('⚙ Parámetros'!D17/(1+2^(-'⚙ Parámetros'!C17*(Q92-'⚙ Parámetros'!B17))),'⚙ Parámetros'!G17/(1+2^(-'⚙ Parámetros'!F17*(Q92-'⚙ Parámetros'!E17))),1)*Q92)/(30/100*MAX('⚙ Parámetros'!D17/(1+2^(-'⚙ Parámetros'!C17*(N92-'⚙ Parámetros'!B17))),'⚙ Parámetros'!G17/(1+2^(-'⚙ Parámetros'!F17*(N92-'⚙ Parámetros'!E17))),1)+25/100*MAX('⚙ Parámetros'!D17/(1+2^(-'⚙ Parámetros'!C17*(O92-'⚙ Parámetros'!B17))),'⚙ Parámetros'!G17/(1+2^(-'⚙ Parámetros'!F17*(O92-'⚙ Parámetros'!E17))),1)+25/100*MAX('⚙ Parámetros'!D17/(1+2^(-'⚙ Parámetros'!C17*(P92-'⚙ Parámetros'!B17))),'⚙ Parámetros'!G17/(1+2^(-'⚙ Parámetros'!F17*(P92-'⚙ Parámetros'!E17))),1)+20/100*MAX('⚙ Parámetros'!D17/(1+2^(-'⚙ Parámetros'!C17*(Q92-'⚙ Parámetros'!B17))),'⚙ Parámetros'!G17/(1+2^(-'⚙ Parámetros'!F17*(Q92-'⚙ Parámetros'!E17))),1)),0)</f>
        <v>4.2</v>
      </c>
      <c r="AE92" s="89">
        <f>IFERROR((30/100*MAX('⚙ Parámetros'!D18/(1+2^(-'⚙ Parámetros'!C18*(R92-'⚙ Parámetros'!B18))),'⚙ Parámetros'!G18/(1+2^(-'⚙ Parámetros'!F18*(R92-'⚙ Parámetros'!E18))),1)*R92+30/100*MAX('⚙ Parámetros'!D18/(1+2^(-'⚙ Parámetros'!C18*(S92-'⚙ Parámetros'!B18))),'⚙ Parámetros'!G18/(1+2^(-'⚙ Parámetros'!F18*(S92-'⚙ Parámetros'!E18))),1)*S92+20/100*MAX('⚙ Parámetros'!D18/(1+2^(-'⚙ Parámetros'!C18*(T92-'⚙ Parámetros'!B18))),'⚙ Parámetros'!G18/(1+2^(-'⚙ Parámetros'!F18*(T92-'⚙ Parámetros'!E18))),1)*T92+20/100*MAX('⚙ Parámetros'!D18/(1+2^(-'⚙ Parámetros'!C18*(U92-'⚙ Parámetros'!B18))),'⚙ Parámetros'!G18/(1+2^(-'⚙ Parámetros'!F18*(U92-'⚙ Parámetros'!E18))),1)*U92)/(30/100*MAX('⚙ Parámetros'!D18/(1+2^(-'⚙ Parámetros'!C18*(R92-'⚙ Parámetros'!B18))),'⚙ Parámetros'!G18/(1+2^(-'⚙ Parámetros'!F18*(R92-'⚙ Parámetros'!E18))),1)+30/100*MAX('⚙ Parámetros'!D18/(1+2^(-'⚙ Parámetros'!C18*(S92-'⚙ Parámetros'!B18))),'⚙ Parámetros'!G18/(1+2^(-'⚙ Parámetros'!F18*(S92-'⚙ Parámetros'!E18))),1)+20/100*MAX('⚙ Parámetros'!D18/(1+2^(-'⚙ Parámetros'!C18*(T92-'⚙ Parámetros'!B18))),'⚙ Parámetros'!G18/(1+2^(-'⚙ Parámetros'!F18*(T92-'⚙ Parámetros'!E18))),1)+20/100*MAX('⚙ Parámetros'!D18/(1+2^(-'⚙ Parámetros'!C18*(U92-'⚙ Parámetros'!B18))),'⚙ Parámetros'!G18/(1+2^(-'⚙ Parámetros'!F18*(U92-'⚙ Parámetros'!E18))),1)),0)</f>
        <v>8.1801060365339655</v>
      </c>
      <c r="AF92" s="89">
        <f>IFERROR((30/100*MAX('⚙ Parámetros'!D19/(1+2^(-'⚙ Parámetros'!C19*(V92-'⚙ Parámetros'!B19))),'⚙ Parámetros'!G19/(1+2^(-'⚙ Parámetros'!F19*(V92-'⚙ Parámetros'!E19))),1)*V92+35/100*MAX('⚙ Parámetros'!D19/(1+2^(-'⚙ Parámetros'!C19*(W92-'⚙ Parámetros'!B19))),'⚙ Parámetros'!G19/(1+2^(-'⚙ Parámetros'!F19*(W92-'⚙ Parámetros'!E19))),1)*W92+35/100*MAX('⚙ Parámetros'!D19/(1+2^(-'⚙ Parámetros'!C19*(X92-'⚙ Parámetros'!B19))),'⚙ Parámetros'!G19/(1+2^(-'⚙ Parámetros'!F19*(X92-'⚙ Parámetros'!E19))),1)*X92)/(30/100*MAX('⚙ Parámetros'!D19/(1+2^(-'⚙ Parámetros'!C19*(V92-'⚙ Parámetros'!B19))),'⚙ Parámetros'!G19/(1+2^(-'⚙ Parámetros'!F19*(V92-'⚙ Parámetros'!E19))),1)+35/100*MAX('⚙ Parámetros'!D19/(1+2^(-'⚙ Parámetros'!C19*(W92-'⚙ Parámetros'!B19))),'⚙ Parámetros'!G19/(1+2^(-'⚙ Parámetros'!F19*(W92-'⚙ Parámetros'!E19))),1)+35/100*MAX('⚙ Parámetros'!D19/(1+2^(-'⚙ Parámetros'!C19*(X92-'⚙ Parámetros'!B19))),'⚙ Parámetros'!G19/(1+2^(-'⚙ Parámetros'!F19*(X92-'⚙ Parámetros'!E19))),1)),0)</f>
        <v>5.7368421052631575</v>
      </c>
      <c r="AG92" s="89">
        <f>IFERROR((35/100*MAX('⚙ Parámetros'!D20/(1+2^(-'⚙ Parámetros'!C20*(Y92-'⚙ Parámetros'!B20))),'⚙ Parámetros'!G20/(1+2^(-'⚙ Parámetros'!F20*(Y92-'⚙ Parámetros'!E20))),1)*Y92+35/100*MAX('⚙ Parámetros'!D20/(1+2^(-'⚙ Parámetros'!C20*(Z92-'⚙ Parámetros'!B20))),'⚙ Parámetros'!G20/(1+2^(-'⚙ Parámetros'!F20*(Z92-'⚙ Parámetros'!E20))),1)*Z92+30/100*MAX('⚙ Parámetros'!D20/(1+2^(-'⚙ Parámetros'!C20*(AA92-'⚙ Parámetros'!B20))),'⚙ Parámetros'!G20/(1+2^(-'⚙ Parámetros'!F20*(AA92-'⚙ Parámetros'!E20))),1)*AA92)/(35/100*MAX('⚙ Parámetros'!D20/(1+2^(-'⚙ Parámetros'!C20*(Y92-'⚙ Parámetros'!B20))),'⚙ Parámetros'!G20/(1+2^(-'⚙ Parámetros'!F20*(Y92-'⚙ Parámetros'!E20))),1)+35/100*MAX('⚙ Parámetros'!D20/(1+2^(-'⚙ Parámetros'!C20*(Z92-'⚙ Parámetros'!B20))),'⚙ Parámetros'!G20/(1+2^(-'⚙ Parámetros'!F20*(Z92-'⚙ Parámetros'!E20))),1)+30/100*MAX('⚙ Parámetros'!D20/(1+2^(-'⚙ Parámetros'!C20*(AA92-'⚙ Parámetros'!B20))),'⚙ Parámetros'!G20/(1+2^(-'⚙ Parámetros'!F20*(AA92-'⚙ Parámetros'!E20))),1)),0)</f>
        <v>3.7272727272727275</v>
      </c>
      <c r="AH92" s="90">
        <f>('⚙ Parámetros'!B5/100*AB92+'⚙ Parámetros'!B6/100*AC92+'⚙ Parámetros'!B7/100*AD92+'⚙ Parámetros'!B8/100*AE92+'⚙ Parámetros'!B9/100*AF92+'⚙ Parámetros'!B10/100*AG92)</f>
        <v>3.2734787530922103</v>
      </c>
      <c r="AI92" s="91">
        <f ca="1">MIN(1+MAX(0,TODAY()-DATE(2025,9,4))/365*'⚙ Parámetros'!B33,'⚙ Parámetros'!B34)</f>
        <v>1.1154794520547946</v>
      </c>
      <c r="AJ92" s="82">
        <f t="shared" ca="1" si="4"/>
        <v>3.6514982858123108</v>
      </c>
      <c r="AK92" s="92" t="str">
        <f ca="1">IF(AB92&gt;='⚙ Parámetros'!B23,"⚑ AUTO-PRIOR.(D1≥8)",IF(AJ92&gt;='⚙ Parámetros'!B23,"PRIORITARIO",IF(AJ92&gt;='⚙ Parámetros'!B24,"ALTA PRIORIDAD",IF(AJ92&gt;='⚙ Parámetros'!B25,"PRIORIDAD MEDIA",IF(AJ92&gt;='⚙ Parámetros'!B26,"BAJA PRIORIDAD","DESCARTAR")))))</f>
        <v>DESCARTAR</v>
      </c>
      <c r="AL92" s="69" t="str">
        <f t="shared" si="5"/>
        <v>—</v>
      </c>
      <c r="AM92" s="85">
        <v>47</v>
      </c>
      <c r="AN92" s="83" t="str">
        <f>IF(AM92="","—",IF(AM92&lt;'⚙ Parámetros'!B29,"🟢 Corto",IF(AM92&lt;'⚙ Parámetros'!B30,"🟡 Medio","🔴 Largo")))</f>
        <v>🟡 Medio</v>
      </c>
    </row>
    <row r="93" spans="1:40" ht="18.75" customHeight="1" x14ac:dyDescent="0.25">
      <c r="A93" s="69">
        <v>89</v>
      </c>
      <c r="B93" s="70" t="s">
        <v>312</v>
      </c>
      <c r="C93" s="4" t="s">
        <v>135</v>
      </c>
      <c r="D93" s="71" t="s">
        <v>167</v>
      </c>
      <c r="E93" s="72" t="s">
        <v>201</v>
      </c>
      <c r="F93" s="74">
        <v>1</v>
      </c>
      <c r="G93" s="74">
        <v>1</v>
      </c>
      <c r="H93" s="74">
        <v>1</v>
      </c>
      <c r="I93" s="74">
        <v>1</v>
      </c>
      <c r="J93" s="74">
        <v>1</v>
      </c>
      <c r="K93" s="74">
        <v>1</v>
      </c>
      <c r="L93" s="74">
        <v>1</v>
      </c>
      <c r="M93" s="73">
        <v>3</v>
      </c>
      <c r="N93" s="74">
        <v>1</v>
      </c>
      <c r="O93" s="87">
        <v>8</v>
      </c>
      <c r="P93" s="73">
        <v>6</v>
      </c>
      <c r="Q93" s="74">
        <v>1</v>
      </c>
      <c r="R93" s="73">
        <v>5</v>
      </c>
      <c r="S93" s="73">
        <v>5</v>
      </c>
      <c r="T93" s="73">
        <v>5</v>
      </c>
      <c r="U93" s="73">
        <v>5</v>
      </c>
      <c r="V93" s="73">
        <v>5</v>
      </c>
      <c r="W93" s="73">
        <v>6</v>
      </c>
      <c r="X93" s="73">
        <v>6</v>
      </c>
      <c r="Y93" s="73">
        <v>4</v>
      </c>
      <c r="Z93" s="74">
        <v>2</v>
      </c>
      <c r="AA93" s="73">
        <v>5</v>
      </c>
      <c r="AB93" s="80">
        <f>IFERROR((30/100*MAX('⚙ Parámetros'!D15/(1+2^(-'⚙ Parámetros'!C15*(F93-'⚙ Parámetros'!B15))),'⚙ Parámetros'!G15/(1+2^(-'⚙ Parámetros'!F15*(F93-'⚙ Parámetros'!E15))),1)*F93+30/100*MAX('⚙ Parámetros'!D15/(1+2^(-'⚙ Parámetros'!C15*(G93-'⚙ Parámetros'!B15))),'⚙ Parámetros'!G15/(1+2^(-'⚙ Parámetros'!F15*(G93-'⚙ Parámetros'!E15))),1)*G93+20/100*MAX('⚙ Parámetros'!D15/(1+2^(-'⚙ Parámetros'!C15*(H93-'⚙ Parámetros'!B15))),'⚙ Parámetros'!G15/(1+2^(-'⚙ Parámetros'!F15*(H93-'⚙ Parámetros'!E15))),1)*H93+20/100*MAX('⚙ Parámetros'!D15/(1+2^(-'⚙ Parámetros'!C15*(I93-'⚙ Parámetros'!B15))),'⚙ Parámetros'!G15/(1+2^(-'⚙ Parámetros'!F15*(I93-'⚙ Parámetros'!E15))),1)*I93)/(30/100*MAX('⚙ Parámetros'!D15/(1+2^(-'⚙ Parámetros'!C15*(F93-'⚙ Parámetros'!B15))),'⚙ Parámetros'!G15/(1+2^(-'⚙ Parámetros'!F15*(F93-'⚙ Parámetros'!E15))),1)+30/100*MAX('⚙ Parámetros'!D15/(1+2^(-'⚙ Parámetros'!C15*(G93-'⚙ Parámetros'!B15))),'⚙ Parámetros'!G15/(1+2^(-'⚙ Parámetros'!F15*(G93-'⚙ Parámetros'!E15))),1)+20/100*MAX('⚙ Parámetros'!D15/(1+2^(-'⚙ Parámetros'!C15*(H93-'⚙ Parámetros'!B15))),'⚙ Parámetros'!G15/(1+2^(-'⚙ Parámetros'!F15*(H93-'⚙ Parámetros'!E15))),1)+20/100*MAX('⚙ Parámetros'!D15/(1+2^(-'⚙ Parámetros'!C15*(I93-'⚙ Parámetros'!B15))),'⚙ Parámetros'!G15/(1+2^(-'⚙ Parámetros'!F15*(I93-'⚙ Parámetros'!E15))),1)),0)</f>
        <v>1</v>
      </c>
      <c r="AC93" s="80">
        <f>IFERROR((35/100*MAX('⚙ Parámetros'!D16/(1+2^(-'⚙ Parámetros'!C16*(J93-'⚙ Parámetros'!B16))),'⚙ Parámetros'!G16/(1+2^(-'⚙ Parámetros'!F16*(J93-'⚙ Parámetros'!E16))),1)*J93+25/100*MAX('⚙ Parámetros'!D16/(1+2^(-'⚙ Parámetros'!C16*(K93-'⚙ Parámetros'!B16))),'⚙ Parámetros'!G16/(1+2^(-'⚙ Parámetros'!F16*(K93-'⚙ Parámetros'!E16))),1)*K93+20/100*MAX('⚙ Parámetros'!D16/(1+2^(-'⚙ Parámetros'!C16*(L93-'⚙ Parámetros'!B16))),'⚙ Parámetros'!G16/(1+2^(-'⚙ Parámetros'!F16*(L93-'⚙ Parámetros'!E16))),1)*L93+20/100*MAX('⚙ Parámetros'!D16/(1+2^(-'⚙ Parámetros'!C16*(M93-'⚙ Parámetros'!B16))),'⚙ Parámetros'!G16/(1+2^(-'⚙ Parámetros'!F16*(M93-'⚙ Parámetros'!E16))),1)*M93)/(35/100*MAX('⚙ Parámetros'!D16/(1+2^(-'⚙ Parámetros'!C16*(J93-'⚙ Parámetros'!B16))),'⚙ Parámetros'!G16/(1+2^(-'⚙ Parámetros'!F16*(J93-'⚙ Parámetros'!E16))),1)+25/100*MAX('⚙ Parámetros'!D16/(1+2^(-'⚙ Parámetros'!C16*(K93-'⚙ Parámetros'!B16))),'⚙ Parámetros'!G16/(1+2^(-'⚙ Parámetros'!F16*(K93-'⚙ Parámetros'!E16))),1)+20/100*MAX('⚙ Parámetros'!D16/(1+2^(-'⚙ Parámetros'!C16*(L93-'⚙ Parámetros'!B16))),'⚙ Parámetros'!G16/(1+2^(-'⚙ Parámetros'!F16*(L93-'⚙ Parámetros'!E16))),1)+20/100*MAX('⚙ Parámetros'!D16/(1+2^(-'⚙ Parámetros'!C16*(M93-'⚙ Parámetros'!B16))),'⚙ Parámetros'!G16/(1+2^(-'⚙ Parámetros'!F16*(M93-'⚙ Parámetros'!E16))),1)),0)</f>
        <v>1.4000000000000001</v>
      </c>
      <c r="AD93" s="80">
        <f>IFERROR((30/100*MAX('⚙ Parámetros'!D17/(1+2^(-'⚙ Parámetros'!C17*(N93-'⚙ Parámetros'!B17))),'⚙ Parámetros'!G17/(1+2^(-'⚙ Parámetros'!F17*(N93-'⚙ Parámetros'!E17))),1)*N93+25/100*MAX('⚙ Parámetros'!D17/(1+2^(-'⚙ Parámetros'!C17*(O93-'⚙ Parámetros'!B17))),'⚙ Parámetros'!G17/(1+2^(-'⚙ Parámetros'!F17*(O93-'⚙ Parámetros'!E17))),1)*O93+25/100*MAX('⚙ Parámetros'!D17/(1+2^(-'⚙ Parámetros'!C17*(P93-'⚙ Parámetros'!B17))),'⚙ Parámetros'!G17/(1+2^(-'⚙ Parámetros'!F17*(P93-'⚙ Parámetros'!E17))),1)*P93+20/100*MAX('⚙ Parámetros'!D17/(1+2^(-'⚙ Parámetros'!C17*(Q93-'⚙ Parámetros'!B17))),'⚙ Parámetros'!G17/(1+2^(-'⚙ Parámetros'!F17*(Q93-'⚙ Parámetros'!E17))),1)*Q93)/(30/100*MAX('⚙ Parámetros'!D17/(1+2^(-'⚙ Parámetros'!C17*(N93-'⚙ Parámetros'!B17))),'⚙ Parámetros'!G17/(1+2^(-'⚙ Parámetros'!F17*(N93-'⚙ Parámetros'!E17))),1)+25/100*MAX('⚙ Parámetros'!D17/(1+2^(-'⚙ Parámetros'!C17*(O93-'⚙ Parámetros'!B17))),'⚙ Parámetros'!G17/(1+2^(-'⚙ Parámetros'!F17*(O93-'⚙ Parámetros'!E17))),1)+25/100*MAX('⚙ Parámetros'!D17/(1+2^(-'⚙ Parámetros'!C17*(P93-'⚙ Parámetros'!B17))),'⚙ Parámetros'!G17/(1+2^(-'⚙ Parámetros'!F17*(P93-'⚙ Parámetros'!E17))),1)+20/100*MAX('⚙ Parámetros'!D17/(1+2^(-'⚙ Parámetros'!C17*(Q93-'⚙ Parámetros'!B17))),'⚙ Parámetros'!G17/(1+2^(-'⚙ Parámetros'!F17*(Q93-'⚙ Parámetros'!E17))),1)),0)</f>
        <v>5.7619047619047619</v>
      </c>
      <c r="AE93" s="80">
        <f>IFERROR((30/100*MAX('⚙ Parámetros'!D18/(1+2^(-'⚙ Parámetros'!C18*(R93-'⚙ Parámetros'!B18))),'⚙ Parámetros'!G18/(1+2^(-'⚙ Parámetros'!F18*(R93-'⚙ Parámetros'!E18))),1)*R93+30/100*MAX('⚙ Parámetros'!D18/(1+2^(-'⚙ Parámetros'!C18*(S93-'⚙ Parámetros'!B18))),'⚙ Parámetros'!G18/(1+2^(-'⚙ Parámetros'!F18*(S93-'⚙ Parámetros'!E18))),1)*S93+20/100*MAX('⚙ Parámetros'!D18/(1+2^(-'⚙ Parámetros'!C18*(T93-'⚙ Parámetros'!B18))),'⚙ Parámetros'!G18/(1+2^(-'⚙ Parámetros'!F18*(T93-'⚙ Parámetros'!E18))),1)*T93+20/100*MAX('⚙ Parámetros'!D18/(1+2^(-'⚙ Parámetros'!C18*(U93-'⚙ Parámetros'!B18))),'⚙ Parámetros'!G18/(1+2^(-'⚙ Parámetros'!F18*(U93-'⚙ Parámetros'!E18))),1)*U93)/(30/100*MAX('⚙ Parámetros'!D18/(1+2^(-'⚙ Parámetros'!C18*(R93-'⚙ Parámetros'!B18))),'⚙ Parámetros'!G18/(1+2^(-'⚙ Parámetros'!F18*(R93-'⚙ Parámetros'!E18))),1)+30/100*MAX('⚙ Parámetros'!D18/(1+2^(-'⚙ Parámetros'!C18*(S93-'⚙ Parámetros'!B18))),'⚙ Parámetros'!G18/(1+2^(-'⚙ Parámetros'!F18*(S93-'⚙ Parámetros'!E18))),1)+20/100*MAX('⚙ Parámetros'!D18/(1+2^(-'⚙ Parámetros'!C18*(T93-'⚙ Parámetros'!B18))),'⚙ Parámetros'!G18/(1+2^(-'⚙ Parámetros'!F18*(T93-'⚙ Parámetros'!E18))),1)+20/100*MAX('⚙ Parámetros'!D18/(1+2^(-'⚙ Parámetros'!C18*(U93-'⚙ Parámetros'!B18))),'⚙ Parámetros'!G18/(1+2^(-'⚙ Parámetros'!F18*(U93-'⚙ Parámetros'!E18))),1)),0)</f>
        <v>5</v>
      </c>
      <c r="AF93" s="80">
        <f>IFERROR((30/100*MAX('⚙ Parámetros'!D19/(1+2^(-'⚙ Parámetros'!C19*(V93-'⚙ Parámetros'!B19))),'⚙ Parámetros'!G19/(1+2^(-'⚙ Parámetros'!F19*(V93-'⚙ Parámetros'!E19))),1)*V93+35/100*MAX('⚙ Parámetros'!D19/(1+2^(-'⚙ Parámetros'!C19*(W93-'⚙ Parámetros'!B19))),'⚙ Parámetros'!G19/(1+2^(-'⚙ Parámetros'!F19*(W93-'⚙ Parámetros'!E19))),1)*W93+35/100*MAX('⚙ Parámetros'!D19/(1+2^(-'⚙ Parámetros'!C19*(X93-'⚙ Parámetros'!B19))),'⚙ Parámetros'!G19/(1+2^(-'⚙ Parámetros'!F19*(X93-'⚙ Parámetros'!E19))),1)*X93)/(30/100*MAX('⚙ Parámetros'!D19/(1+2^(-'⚙ Parámetros'!C19*(V93-'⚙ Parámetros'!B19))),'⚙ Parámetros'!G19/(1+2^(-'⚙ Parámetros'!F19*(V93-'⚙ Parámetros'!E19))),1)+35/100*MAX('⚙ Parámetros'!D19/(1+2^(-'⚙ Parámetros'!C19*(W93-'⚙ Parámetros'!B19))),'⚙ Parámetros'!G19/(1+2^(-'⚙ Parámetros'!F19*(W93-'⚙ Parámetros'!E19))),1)+35/100*MAX('⚙ Parámetros'!D19/(1+2^(-'⚙ Parámetros'!C19*(X93-'⚙ Parámetros'!B19))),'⚙ Parámetros'!G19/(1+2^(-'⚙ Parámetros'!F19*(X93-'⚙ Parámetros'!E19))),1)),0)</f>
        <v>5.7368421052631575</v>
      </c>
      <c r="AG93" s="80">
        <f>IFERROR((35/100*MAX('⚙ Parámetros'!D20/(1+2^(-'⚙ Parámetros'!C20*(Y93-'⚙ Parámetros'!B20))),'⚙ Parámetros'!G20/(1+2^(-'⚙ Parámetros'!F20*(Y93-'⚙ Parámetros'!E20))),1)*Y93+35/100*MAX('⚙ Parámetros'!D20/(1+2^(-'⚙ Parámetros'!C20*(Z93-'⚙ Parámetros'!B20))),'⚙ Parámetros'!G20/(1+2^(-'⚙ Parámetros'!F20*(Z93-'⚙ Parámetros'!E20))),1)*Z93+30/100*MAX('⚙ Parámetros'!D20/(1+2^(-'⚙ Parámetros'!C20*(AA93-'⚙ Parámetros'!B20))),'⚙ Parámetros'!G20/(1+2^(-'⚙ Parámetros'!F20*(AA93-'⚙ Parámetros'!E20))),1)*AA93)/(35/100*MAX('⚙ Parámetros'!D20/(1+2^(-'⚙ Parámetros'!C20*(Y93-'⚙ Parámetros'!B20))),'⚙ Parámetros'!G20/(1+2^(-'⚙ Parámetros'!F20*(Y93-'⚙ Parámetros'!E20))),1)+35/100*MAX('⚙ Parámetros'!D20/(1+2^(-'⚙ Parámetros'!C20*(Z93-'⚙ Parámetros'!B20))),'⚙ Parámetros'!G20/(1+2^(-'⚙ Parámetros'!F20*(Z93-'⚙ Parámetros'!E20))),1)+30/100*MAX('⚙ Parámetros'!D20/(1+2^(-'⚙ Parámetros'!C20*(AA93-'⚙ Parámetros'!B20))),'⚙ Parámetros'!G20/(1+2^(-'⚙ Parámetros'!F20*(AA93-'⚙ Parámetros'!E20))),1)),0)</f>
        <v>3.7272727272727275</v>
      </c>
      <c r="AH93" s="81">
        <f>('⚙ Parámetros'!B5/100*AB93+'⚙ Parámetros'!B6/100*AC93+'⚙ Parámetros'!B7/100*AD93+'⚙ Parámetros'!B8/100*AE93+'⚙ Parámetros'!B9/100*AF93+'⚙ Parámetros'!B10/100*AG93)</f>
        <v>3.2042469810890863</v>
      </c>
      <c r="AI93" s="33">
        <f ca="1">MIN(1+MAX(0,TODAY()-DATE(2025,7,1))/365*'⚙ Parámetros'!B33,'⚙ Parámetros'!B34)</f>
        <v>1.1421917808219177</v>
      </c>
      <c r="AJ93" s="82">
        <f t="shared" ca="1" si="4"/>
        <v>3.6598645655233972</v>
      </c>
      <c r="AK93" s="83" t="str">
        <f ca="1">IF(AB93&gt;='⚙ Parámetros'!B23,"⚑ AUTO-PRIOR.(D1≥8)",IF(AJ93&gt;='⚙ Parámetros'!B23,"PRIORITARIO",IF(AJ93&gt;='⚙ Parámetros'!B24,"ALTA PRIORIDAD",IF(AJ93&gt;='⚙ Parámetros'!B25,"PRIORIDAD MEDIA",IF(AJ93&gt;='⚙ Parámetros'!B26,"BAJA PRIORIDAD","DESCARTAR")))))</f>
        <v>DESCARTAR</v>
      </c>
      <c r="AL93" s="84" t="str">
        <f t="shared" si="5"/>
        <v>—</v>
      </c>
      <c r="AM93" s="85">
        <v>14</v>
      </c>
      <c r="AN93" s="83" t="str">
        <f>IF(AM93="","—",IF(AM93&lt;'⚙ Parámetros'!B29,"🟢 Corto",IF(AM93&lt;'⚙ Parámetros'!B30,"🟡 Medio","🔴 Largo")))</f>
        <v>🟢 Corto</v>
      </c>
    </row>
    <row r="94" spans="1:40" ht="18.75" customHeight="1" x14ac:dyDescent="0.25">
      <c r="A94" s="69">
        <v>90</v>
      </c>
      <c r="B94" s="30" t="s">
        <v>313</v>
      </c>
      <c r="C94" s="26" t="s">
        <v>138</v>
      </c>
      <c r="D94" s="71" t="s">
        <v>314</v>
      </c>
      <c r="E94" s="72" t="s">
        <v>190</v>
      </c>
      <c r="F94" s="74">
        <v>1</v>
      </c>
      <c r="G94" s="74">
        <v>1</v>
      </c>
      <c r="H94" s="74">
        <v>1</v>
      </c>
      <c r="I94" s="74">
        <v>1</v>
      </c>
      <c r="J94" s="74">
        <v>1</v>
      </c>
      <c r="K94" s="74">
        <v>1</v>
      </c>
      <c r="L94" s="74">
        <v>1</v>
      </c>
      <c r="M94" s="86">
        <v>3</v>
      </c>
      <c r="N94" s="86">
        <v>7</v>
      </c>
      <c r="O94" s="74">
        <v>1</v>
      </c>
      <c r="P94" s="86">
        <v>7</v>
      </c>
      <c r="Q94" s="74">
        <v>1</v>
      </c>
      <c r="R94" s="86">
        <v>5</v>
      </c>
      <c r="S94" s="86">
        <v>5</v>
      </c>
      <c r="T94" s="86">
        <v>5</v>
      </c>
      <c r="U94" s="86">
        <v>5</v>
      </c>
      <c r="V94" s="86">
        <v>5</v>
      </c>
      <c r="W94" s="86">
        <v>6</v>
      </c>
      <c r="X94" s="86">
        <v>6</v>
      </c>
      <c r="Y94" s="86">
        <v>4</v>
      </c>
      <c r="Z94" s="74">
        <v>2</v>
      </c>
      <c r="AA94" s="86">
        <v>5</v>
      </c>
      <c r="AB94" s="89">
        <f>IFERROR((30/100*MAX('⚙ Parámetros'!D15/(1+2^(-'⚙ Parámetros'!C15*(F94-'⚙ Parámetros'!B15))),'⚙ Parámetros'!G15/(1+2^(-'⚙ Parámetros'!F15*(F94-'⚙ Parámetros'!E15))),1)*F94+30/100*MAX('⚙ Parámetros'!D15/(1+2^(-'⚙ Parámetros'!C15*(G94-'⚙ Parámetros'!B15))),'⚙ Parámetros'!G15/(1+2^(-'⚙ Parámetros'!F15*(G94-'⚙ Parámetros'!E15))),1)*G94+20/100*MAX('⚙ Parámetros'!D15/(1+2^(-'⚙ Parámetros'!C15*(H94-'⚙ Parámetros'!B15))),'⚙ Parámetros'!G15/(1+2^(-'⚙ Parámetros'!F15*(H94-'⚙ Parámetros'!E15))),1)*H94+20/100*MAX('⚙ Parámetros'!D15/(1+2^(-'⚙ Parámetros'!C15*(I94-'⚙ Parámetros'!B15))),'⚙ Parámetros'!G15/(1+2^(-'⚙ Parámetros'!F15*(I94-'⚙ Parámetros'!E15))),1)*I94)/(30/100*MAX('⚙ Parámetros'!D15/(1+2^(-'⚙ Parámetros'!C15*(F94-'⚙ Parámetros'!B15))),'⚙ Parámetros'!G15/(1+2^(-'⚙ Parámetros'!F15*(F94-'⚙ Parámetros'!E15))),1)+30/100*MAX('⚙ Parámetros'!D15/(1+2^(-'⚙ Parámetros'!C15*(G94-'⚙ Parámetros'!B15))),'⚙ Parámetros'!G15/(1+2^(-'⚙ Parámetros'!F15*(G94-'⚙ Parámetros'!E15))),1)+20/100*MAX('⚙ Parámetros'!D15/(1+2^(-'⚙ Parámetros'!C15*(H94-'⚙ Parámetros'!B15))),'⚙ Parámetros'!G15/(1+2^(-'⚙ Parámetros'!F15*(H94-'⚙ Parámetros'!E15))),1)+20/100*MAX('⚙ Parámetros'!D15/(1+2^(-'⚙ Parámetros'!C15*(I94-'⚙ Parámetros'!B15))),'⚙ Parámetros'!G15/(1+2^(-'⚙ Parámetros'!F15*(I94-'⚙ Parámetros'!E15))),1)),0)</f>
        <v>1</v>
      </c>
      <c r="AC94" s="89">
        <f>IFERROR((35/100*MAX('⚙ Parámetros'!D16/(1+2^(-'⚙ Parámetros'!C16*(J94-'⚙ Parámetros'!B16))),'⚙ Parámetros'!G16/(1+2^(-'⚙ Parámetros'!F16*(J94-'⚙ Parámetros'!E16))),1)*J94+25/100*MAX('⚙ Parámetros'!D16/(1+2^(-'⚙ Parámetros'!C16*(K94-'⚙ Parámetros'!B16))),'⚙ Parámetros'!G16/(1+2^(-'⚙ Parámetros'!F16*(K94-'⚙ Parámetros'!E16))),1)*K94+20/100*MAX('⚙ Parámetros'!D16/(1+2^(-'⚙ Parámetros'!C16*(L94-'⚙ Parámetros'!B16))),'⚙ Parámetros'!G16/(1+2^(-'⚙ Parámetros'!F16*(L94-'⚙ Parámetros'!E16))),1)*L94+20/100*MAX('⚙ Parámetros'!D16/(1+2^(-'⚙ Parámetros'!C16*(M94-'⚙ Parámetros'!B16))),'⚙ Parámetros'!G16/(1+2^(-'⚙ Parámetros'!F16*(M94-'⚙ Parámetros'!E16))),1)*M94)/(35/100*MAX('⚙ Parámetros'!D16/(1+2^(-'⚙ Parámetros'!C16*(J94-'⚙ Parámetros'!B16))),'⚙ Parámetros'!G16/(1+2^(-'⚙ Parámetros'!F16*(J94-'⚙ Parámetros'!E16))),1)+25/100*MAX('⚙ Parámetros'!D16/(1+2^(-'⚙ Parámetros'!C16*(K94-'⚙ Parámetros'!B16))),'⚙ Parámetros'!G16/(1+2^(-'⚙ Parámetros'!F16*(K94-'⚙ Parámetros'!E16))),1)+20/100*MAX('⚙ Parámetros'!D16/(1+2^(-'⚙ Parámetros'!C16*(L94-'⚙ Parámetros'!B16))),'⚙ Parámetros'!G16/(1+2^(-'⚙ Parámetros'!F16*(L94-'⚙ Parámetros'!E16))),1)+20/100*MAX('⚙ Parámetros'!D16/(1+2^(-'⚙ Parámetros'!C16*(M94-'⚙ Parámetros'!B16))),'⚙ Parámetros'!G16/(1+2^(-'⚙ Parámetros'!F16*(M94-'⚙ Parámetros'!E16))),1)),0)</f>
        <v>1.4000000000000001</v>
      </c>
      <c r="AD94" s="89">
        <f>IFERROR((30/100*MAX('⚙ Parámetros'!D17/(1+2^(-'⚙ Parámetros'!C17*(N94-'⚙ Parámetros'!B17))),'⚙ Parámetros'!G17/(1+2^(-'⚙ Parámetros'!F17*(N94-'⚙ Parámetros'!E17))),1)*N94+25/100*MAX('⚙ Parámetros'!D17/(1+2^(-'⚙ Parámetros'!C17*(O94-'⚙ Parámetros'!B17))),'⚙ Parámetros'!G17/(1+2^(-'⚙ Parámetros'!F17*(O94-'⚙ Parámetros'!E17))),1)*O94+25/100*MAX('⚙ Parámetros'!D17/(1+2^(-'⚙ Parámetros'!C17*(P94-'⚙ Parámetros'!B17))),'⚙ Parámetros'!G17/(1+2^(-'⚙ Parámetros'!F17*(P94-'⚙ Parámetros'!E17))),1)*P94+20/100*MAX('⚙ Parámetros'!D17/(1+2^(-'⚙ Parámetros'!C17*(Q94-'⚙ Parámetros'!B17))),'⚙ Parámetros'!G17/(1+2^(-'⚙ Parámetros'!F17*(Q94-'⚙ Parámetros'!E17))),1)*Q94)/(30/100*MAX('⚙ Parámetros'!D17/(1+2^(-'⚙ Parámetros'!C17*(N94-'⚙ Parámetros'!B17))),'⚙ Parámetros'!G17/(1+2^(-'⚙ Parámetros'!F17*(N94-'⚙ Parámetros'!E17))),1)+25/100*MAX('⚙ Parámetros'!D17/(1+2^(-'⚙ Parámetros'!C17*(O94-'⚙ Parámetros'!B17))),'⚙ Parámetros'!G17/(1+2^(-'⚙ Parámetros'!F17*(O94-'⚙ Parámetros'!E17))),1)+25/100*MAX('⚙ Parámetros'!D17/(1+2^(-'⚙ Parámetros'!C17*(P94-'⚙ Parámetros'!B17))),'⚙ Parámetros'!G17/(1+2^(-'⚙ Parámetros'!F17*(P94-'⚙ Parámetros'!E17))),1)+20/100*MAX('⚙ Parámetros'!D17/(1+2^(-'⚙ Parámetros'!C17*(Q94-'⚙ Parámetros'!B17))),'⚙ Parámetros'!G17/(1+2^(-'⚙ Parámetros'!F17*(Q94-'⚙ Parámetros'!E17))),1)),0)</f>
        <v>5.5913043478260871</v>
      </c>
      <c r="AE94" s="89">
        <f>IFERROR((30/100*MAX('⚙ Parámetros'!D18/(1+2^(-'⚙ Parámetros'!C18*(R94-'⚙ Parámetros'!B18))),'⚙ Parámetros'!G18/(1+2^(-'⚙ Parámetros'!F18*(R94-'⚙ Parámetros'!E18))),1)*R94+30/100*MAX('⚙ Parámetros'!D18/(1+2^(-'⚙ Parámetros'!C18*(S94-'⚙ Parámetros'!B18))),'⚙ Parámetros'!G18/(1+2^(-'⚙ Parámetros'!F18*(S94-'⚙ Parámetros'!E18))),1)*S94+20/100*MAX('⚙ Parámetros'!D18/(1+2^(-'⚙ Parámetros'!C18*(T94-'⚙ Parámetros'!B18))),'⚙ Parámetros'!G18/(1+2^(-'⚙ Parámetros'!F18*(T94-'⚙ Parámetros'!E18))),1)*T94+20/100*MAX('⚙ Parámetros'!D18/(1+2^(-'⚙ Parámetros'!C18*(U94-'⚙ Parámetros'!B18))),'⚙ Parámetros'!G18/(1+2^(-'⚙ Parámetros'!F18*(U94-'⚙ Parámetros'!E18))),1)*U94)/(30/100*MAX('⚙ Parámetros'!D18/(1+2^(-'⚙ Parámetros'!C18*(R94-'⚙ Parámetros'!B18))),'⚙ Parámetros'!G18/(1+2^(-'⚙ Parámetros'!F18*(R94-'⚙ Parámetros'!E18))),1)+30/100*MAX('⚙ Parámetros'!D18/(1+2^(-'⚙ Parámetros'!C18*(S94-'⚙ Parámetros'!B18))),'⚙ Parámetros'!G18/(1+2^(-'⚙ Parámetros'!F18*(S94-'⚙ Parámetros'!E18))),1)+20/100*MAX('⚙ Parámetros'!D18/(1+2^(-'⚙ Parámetros'!C18*(T94-'⚙ Parámetros'!B18))),'⚙ Parámetros'!G18/(1+2^(-'⚙ Parámetros'!F18*(T94-'⚙ Parámetros'!E18))),1)+20/100*MAX('⚙ Parámetros'!D18/(1+2^(-'⚙ Parámetros'!C18*(U94-'⚙ Parámetros'!B18))),'⚙ Parámetros'!G18/(1+2^(-'⚙ Parámetros'!F18*(U94-'⚙ Parámetros'!E18))),1)),0)</f>
        <v>5</v>
      </c>
      <c r="AF94" s="89">
        <f>IFERROR((30/100*MAX('⚙ Parámetros'!D19/(1+2^(-'⚙ Parámetros'!C19*(V94-'⚙ Parámetros'!B19))),'⚙ Parámetros'!G19/(1+2^(-'⚙ Parámetros'!F19*(V94-'⚙ Parámetros'!E19))),1)*V94+35/100*MAX('⚙ Parámetros'!D19/(1+2^(-'⚙ Parámetros'!C19*(W94-'⚙ Parámetros'!B19))),'⚙ Parámetros'!G19/(1+2^(-'⚙ Parámetros'!F19*(W94-'⚙ Parámetros'!E19))),1)*W94+35/100*MAX('⚙ Parámetros'!D19/(1+2^(-'⚙ Parámetros'!C19*(X94-'⚙ Parámetros'!B19))),'⚙ Parámetros'!G19/(1+2^(-'⚙ Parámetros'!F19*(X94-'⚙ Parámetros'!E19))),1)*X94)/(30/100*MAX('⚙ Parámetros'!D19/(1+2^(-'⚙ Parámetros'!C19*(V94-'⚙ Parámetros'!B19))),'⚙ Parámetros'!G19/(1+2^(-'⚙ Parámetros'!F19*(V94-'⚙ Parámetros'!E19))),1)+35/100*MAX('⚙ Parámetros'!D19/(1+2^(-'⚙ Parámetros'!C19*(W94-'⚙ Parámetros'!B19))),'⚙ Parámetros'!G19/(1+2^(-'⚙ Parámetros'!F19*(W94-'⚙ Parámetros'!E19))),1)+35/100*MAX('⚙ Parámetros'!D19/(1+2^(-'⚙ Parámetros'!C19*(X94-'⚙ Parámetros'!B19))),'⚙ Parámetros'!G19/(1+2^(-'⚙ Parámetros'!F19*(X94-'⚙ Parámetros'!E19))),1)),0)</f>
        <v>5.7368421052631575</v>
      </c>
      <c r="AG94" s="89">
        <f>IFERROR((35/100*MAX('⚙ Parámetros'!D20/(1+2^(-'⚙ Parámetros'!C20*(Y94-'⚙ Parámetros'!B20))),'⚙ Parámetros'!G20/(1+2^(-'⚙ Parámetros'!F20*(Y94-'⚙ Parámetros'!E20))),1)*Y94+35/100*MAX('⚙ Parámetros'!D20/(1+2^(-'⚙ Parámetros'!C20*(Z94-'⚙ Parámetros'!B20))),'⚙ Parámetros'!G20/(1+2^(-'⚙ Parámetros'!F20*(Z94-'⚙ Parámetros'!E20))),1)*Z94+30/100*MAX('⚙ Parámetros'!D20/(1+2^(-'⚙ Parámetros'!C20*(AA94-'⚙ Parámetros'!B20))),'⚙ Parámetros'!G20/(1+2^(-'⚙ Parámetros'!F20*(AA94-'⚙ Parámetros'!E20))),1)*AA94)/(35/100*MAX('⚙ Parámetros'!D20/(1+2^(-'⚙ Parámetros'!C20*(Y94-'⚙ Parámetros'!B20))),'⚙ Parámetros'!G20/(1+2^(-'⚙ Parámetros'!F20*(Y94-'⚙ Parámetros'!E20))),1)+35/100*MAX('⚙ Parámetros'!D20/(1+2^(-'⚙ Parámetros'!C20*(Z94-'⚙ Parámetros'!B20))),'⚙ Parámetros'!G20/(1+2^(-'⚙ Parámetros'!F20*(Z94-'⚙ Parámetros'!E20))),1)+30/100*MAX('⚙ Parámetros'!D20/(1+2^(-'⚙ Parámetros'!C20*(AA94-'⚙ Parámetros'!B20))),'⚙ Parámetros'!G20/(1+2^(-'⚙ Parámetros'!F20*(AA94-'⚙ Parámetros'!E20))),1)),0)</f>
        <v>3.7272727272727275</v>
      </c>
      <c r="AH94" s="90">
        <f>('⚙ Parámetros'!B5/100*AB94+'⚙ Parámetros'!B6/100*AC94+'⚙ Parámetros'!B7/100*AD94+'⚙ Parámetros'!B8/100*AE94+'⚙ Parámetros'!B9/100*AF94+'⚙ Parámetros'!B10/100*AG94)</f>
        <v>3.1701268982733519</v>
      </c>
      <c r="AI94" s="91">
        <f ca="1">MIN(1+MAX(0,TODAY()-DATE(2026,3,9))/365*'⚙ Parámetros'!B33,'⚙ Parámetros'!B34)</f>
        <v>1.039041095890411</v>
      </c>
      <c r="AJ94" s="82">
        <f t="shared" ca="1" si="4"/>
        <v>3.2938921264936134</v>
      </c>
      <c r="AK94" s="92" t="str">
        <f ca="1">IF(AB94&gt;='⚙ Parámetros'!B23,"⚑ AUTO-PRIOR.(D1≥8)",IF(AJ94&gt;='⚙ Parámetros'!B23,"PRIORITARIO",IF(AJ94&gt;='⚙ Parámetros'!B24,"ALTA PRIORIDAD",IF(AJ94&gt;='⚙ Parámetros'!B25,"PRIORIDAD MEDIA",IF(AJ94&gt;='⚙ Parámetros'!B26,"BAJA PRIORIDAD","DESCARTAR")))))</f>
        <v>DESCARTAR</v>
      </c>
      <c r="AL94" s="69" t="str">
        <f t="shared" si="5"/>
        <v>—</v>
      </c>
      <c r="AM94" s="85">
        <v>46</v>
      </c>
      <c r="AN94" s="83" t="str">
        <f>IF(AM94="","—",IF(AM94&lt;'⚙ Parámetros'!B29,"🟢 Corto",IF(AM94&lt;'⚙ Parámetros'!B30,"🟡 Medio","🔴 Largo")))</f>
        <v>🟡 Medio</v>
      </c>
    </row>
    <row r="95" spans="1:40" ht="18.75" customHeight="1" x14ac:dyDescent="0.25">
      <c r="A95" s="69">
        <v>91</v>
      </c>
      <c r="B95" s="70" t="s">
        <v>315</v>
      </c>
      <c r="C95" s="4" t="s">
        <v>135</v>
      </c>
      <c r="D95" s="71" t="s">
        <v>316</v>
      </c>
      <c r="E95" s="72" t="s">
        <v>152</v>
      </c>
      <c r="F95" s="74">
        <v>1</v>
      </c>
      <c r="G95" s="74">
        <v>1</v>
      </c>
      <c r="H95" s="74">
        <v>1</v>
      </c>
      <c r="I95" s="74">
        <v>1</v>
      </c>
      <c r="J95" s="73">
        <v>7</v>
      </c>
      <c r="K95" s="74">
        <v>1</v>
      </c>
      <c r="L95" s="73">
        <v>7</v>
      </c>
      <c r="M95" s="73">
        <v>3</v>
      </c>
      <c r="N95" s="74">
        <v>1</v>
      </c>
      <c r="O95" s="74">
        <v>1</v>
      </c>
      <c r="P95" s="74">
        <v>1</v>
      </c>
      <c r="Q95" s="74">
        <v>1</v>
      </c>
      <c r="R95" s="73">
        <v>6</v>
      </c>
      <c r="S95" s="73">
        <v>6</v>
      </c>
      <c r="T95" s="73">
        <v>5</v>
      </c>
      <c r="U95" s="73">
        <v>5</v>
      </c>
      <c r="V95" s="73">
        <v>5</v>
      </c>
      <c r="W95" s="73">
        <v>4</v>
      </c>
      <c r="X95" s="73">
        <v>5</v>
      </c>
      <c r="Y95" s="73">
        <v>4</v>
      </c>
      <c r="Z95" s="74">
        <v>2</v>
      </c>
      <c r="AA95" s="73">
        <v>5</v>
      </c>
      <c r="AB95" s="80">
        <f>IFERROR((30/100*MAX('⚙ Parámetros'!D15/(1+2^(-'⚙ Parámetros'!C15*(F95-'⚙ Parámetros'!B15))),'⚙ Parámetros'!G15/(1+2^(-'⚙ Parámetros'!F15*(F95-'⚙ Parámetros'!E15))),1)*F95+30/100*MAX('⚙ Parámetros'!D15/(1+2^(-'⚙ Parámetros'!C15*(G95-'⚙ Parámetros'!B15))),'⚙ Parámetros'!G15/(1+2^(-'⚙ Parámetros'!F15*(G95-'⚙ Parámetros'!E15))),1)*G95+20/100*MAX('⚙ Parámetros'!D15/(1+2^(-'⚙ Parámetros'!C15*(H95-'⚙ Parámetros'!B15))),'⚙ Parámetros'!G15/(1+2^(-'⚙ Parámetros'!F15*(H95-'⚙ Parámetros'!E15))),1)*H95+20/100*MAX('⚙ Parámetros'!D15/(1+2^(-'⚙ Parámetros'!C15*(I95-'⚙ Parámetros'!B15))),'⚙ Parámetros'!G15/(1+2^(-'⚙ Parámetros'!F15*(I95-'⚙ Parámetros'!E15))),1)*I95)/(30/100*MAX('⚙ Parámetros'!D15/(1+2^(-'⚙ Parámetros'!C15*(F95-'⚙ Parámetros'!B15))),'⚙ Parámetros'!G15/(1+2^(-'⚙ Parámetros'!F15*(F95-'⚙ Parámetros'!E15))),1)+30/100*MAX('⚙ Parámetros'!D15/(1+2^(-'⚙ Parámetros'!C15*(G95-'⚙ Parámetros'!B15))),'⚙ Parámetros'!G15/(1+2^(-'⚙ Parámetros'!F15*(G95-'⚙ Parámetros'!E15))),1)+20/100*MAX('⚙ Parámetros'!D15/(1+2^(-'⚙ Parámetros'!C15*(H95-'⚙ Parámetros'!B15))),'⚙ Parámetros'!G15/(1+2^(-'⚙ Parámetros'!F15*(H95-'⚙ Parámetros'!E15))),1)+20/100*MAX('⚙ Parámetros'!D15/(1+2^(-'⚙ Parámetros'!C15*(I95-'⚙ Parámetros'!B15))),'⚙ Parámetros'!G15/(1+2^(-'⚙ Parámetros'!F15*(I95-'⚙ Parámetros'!E15))),1)),0)</f>
        <v>1</v>
      </c>
      <c r="AC95" s="80">
        <f>IFERROR((35/100*MAX('⚙ Parámetros'!D16/(1+2^(-'⚙ Parámetros'!C16*(J95-'⚙ Parámetros'!B16))),'⚙ Parámetros'!G16/(1+2^(-'⚙ Parámetros'!F16*(J95-'⚙ Parámetros'!E16))),1)*J95+25/100*MAX('⚙ Parámetros'!D16/(1+2^(-'⚙ Parámetros'!C16*(K95-'⚙ Parámetros'!B16))),'⚙ Parámetros'!G16/(1+2^(-'⚙ Parámetros'!F16*(K95-'⚙ Parámetros'!E16))),1)*K95+20/100*MAX('⚙ Parámetros'!D16/(1+2^(-'⚙ Parámetros'!C16*(L95-'⚙ Parámetros'!B16))),'⚙ Parámetros'!G16/(1+2^(-'⚙ Parámetros'!F16*(L95-'⚙ Parámetros'!E16))),1)*L95+20/100*MAX('⚙ Parámetros'!D16/(1+2^(-'⚙ Parámetros'!C16*(M95-'⚙ Parámetros'!B16))),'⚙ Parámetros'!G16/(1+2^(-'⚙ Parámetros'!F16*(M95-'⚙ Parámetros'!E16))),1)*M95)/(35/100*MAX('⚙ Parámetros'!D16/(1+2^(-'⚙ Parámetros'!C16*(J95-'⚙ Parámetros'!B16))),'⚙ Parámetros'!G16/(1+2^(-'⚙ Parámetros'!F16*(J95-'⚙ Parámetros'!E16))),1)+25/100*MAX('⚙ Parámetros'!D16/(1+2^(-'⚙ Parámetros'!C16*(K95-'⚙ Parámetros'!B16))),'⚙ Parámetros'!G16/(1+2^(-'⚙ Parámetros'!F16*(K95-'⚙ Parámetros'!E16))),1)+20/100*MAX('⚙ Parámetros'!D16/(1+2^(-'⚙ Parámetros'!C16*(L95-'⚙ Parámetros'!B16))),'⚙ Parámetros'!G16/(1+2^(-'⚙ Parámetros'!F16*(L95-'⚙ Parámetros'!E16))),1)+20/100*MAX('⚙ Parámetros'!D16/(1+2^(-'⚙ Parámetros'!C16*(M95-'⚙ Parámetros'!B16))),'⚙ Parámetros'!G16/(1+2^(-'⚙ Parámetros'!F16*(M95-'⚙ Parámetros'!E16))),1)),0)</f>
        <v>5.8000000000000007</v>
      </c>
      <c r="AD95" s="80">
        <f>IFERROR((30/100*MAX('⚙ Parámetros'!D17/(1+2^(-'⚙ Parámetros'!C17*(N95-'⚙ Parámetros'!B17))),'⚙ Parámetros'!G17/(1+2^(-'⚙ Parámetros'!F17*(N95-'⚙ Parámetros'!E17))),1)*N95+25/100*MAX('⚙ Parámetros'!D17/(1+2^(-'⚙ Parámetros'!C17*(O95-'⚙ Parámetros'!B17))),'⚙ Parámetros'!G17/(1+2^(-'⚙ Parámetros'!F17*(O95-'⚙ Parámetros'!E17))),1)*O95+25/100*MAX('⚙ Parámetros'!D17/(1+2^(-'⚙ Parámetros'!C17*(P95-'⚙ Parámetros'!B17))),'⚙ Parámetros'!G17/(1+2^(-'⚙ Parámetros'!F17*(P95-'⚙ Parámetros'!E17))),1)*P95+20/100*MAX('⚙ Parámetros'!D17/(1+2^(-'⚙ Parámetros'!C17*(Q95-'⚙ Parámetros'!B17))),'⚙ Parámetros'!G17/(1+2^(-'⚙ Parámetros'!F17*(Q95-'⚙ Parámetros'!E17))),1)*Q95)/(30/100*MAX('⚙ Parámetros'!D17/(1+2^(-'⚙ Parámetros'!C17*(N95-'⚙ Parámetros'!B17))),'⚙ Parámetros'!G17/(1+2^(-'⚙ Parámetros'!F17*(N95-'⚙ Parámetros'!E17))),1)+25/100*MAX('⚙ Parámetros'!D17/(1+2^(-'⚙ Parámetros'!C17*(O95-'⚙ Parámetros'!B17))),'⚙ Parámetros'!G17/(1+2^(-'⚙ Parámetros'!F17*(O95-'⚙ Parámetros'!E17))),1)+25/100*MAX('⚙ Parámetros'!D17/(1+2^(-'⚙ Parámetros'!C17*(P95-'⚙ Parámetros'!B17))),'⚙ Parámetros'!G17/(1+2^(-'⚙ Parámetros'!F17*(P95-'⚙ Parámetros'!E17))),1)+20/100*MAX('⚙ Parámetros'!D17/(1+2^(-'⚙ Parámetros'!C17*(Q95-'⚙ Parámetros'!B17))),'⚙ Parámetros'!G17/(1+2^(-'⚙ Parámetros'!F17*(Q95-'⚙ Parámetros'!E17))),1)),0)</f>
        <v>1</v>
      </c>
      <c r="AE95" s="80">
        <f>IFERROR((30/100*MAX('⚙ Parámetros'!D18/(1+2^(-'⚙ Parámetros'!C18*(R95-'⚙ Parámetros'!B18))),'⚙ Parámetros'!G18/(1+2^(-'⚙ Parámetros'!F18*(R95-'⚙ Parámetros'!E18))),1)*R95+30/100*MAX('⚙ Parámetros'!D18/(1+2^(-'⚙ Parámetros'!C18*(S95-'⚙ Parámetros'!B18))),'⚙ Parámetros'!G18/(1+2^(-'⚙ Parámetros'!F18*(S95-'⚙ Parámetros'!E18))),1)*S95+20/100*MAX('⚙ Parámetros'!D18/(1+2^(-'⚙ Parámetros'!C18*(T95-'⚙ Parámetros'!B18))),'⚙ Parámetros'!G18/(1+2^(-'⚙ Parámetros'!F18*(T95-'⚙ Parámetros'!E18))),1)*T95+20/100*MAX('⚙ Parámetros'!D18/(1+2^(-'⚙ Parámetros'!C18*(U95-'⚙ Parámetros'!B18))),'⚙ Parámetros'!G18/(1+2^(-'⚙ Parámetros'!F18*(U95-'⚙ Parámetros'!E18))),1)*U95)/(30/100*MAX('⚙ Parámetros'!D18/(1+2^(-'⚙ Parámetros'!C18*(R95-'⚙ Parámetros'!B18))),'⚙ Parámetros'!G18/(1+2^(-'⚙ Parámetros'!F18*(R95-'⚙ Parámetros'!E18))),1)+30/100*MAX('⚙ Parámetros'!D18/(1+2^(-'⚙ Parámetros'!C18*(S95-'⚙ Parámetros'!B18))),'⚙ Parámetros'!G18/(1+2^(-'⚙ Parámetros'!F18*(S95-'⚙ Parámetros'!E18))),1)+20/100*MAX('⚙ Parámetros'!D18/(1+2^(-'⚙ Parámetros'!C18*(T95-'⚙ Parámetros'!B18))),'⚙ Parámetros'!G18/(1+2^(-'⚙ Parámetros'!F18*(T95-'⚙ Parámetros'!E18))),1)+20/100*MAX('⚙ Parámetros'!D18/(1+2^(-'⚙ Parámetros'!C18*(U95-'⚙ Parámetros'!B18))),'⚙ Parámetros'!G18/(1+2^(-'⚙ Parámetros'!F18*(U95-'⚙ Parámetros'!E18))),1)),0)</f>
        <v>5.6428571428571441</v>
      </c>
      <c r="AF95" s="80">
        <f>IFERROR((30/100*MAX('⚙ Parámetros'!D19/(1+2^(-'⚙ Parámetros'!C19*(V95-'⚙ Parámetros'!B19))),'⚙ Parámetros'!G19/(1+2^(-'⚙ Parámetros'!F19*(V95-'⚙ Parámetros'!E19))),1)*V95+35/100*MAX('⚙ Parámetros'!D19/(1+2^(-'⚙ Parámetros'!C19*(W95-'⚙ Parámetros'!B19))),'⚙ Parámetros'!G19/(1+2^(-'⚙ Parámetros'!F19*(W95-'⚙ Parámetros'!E19))),1)*W95+35/100*MAX('⚙ Parámetros'!D19/(1+2^(-'⚙ Parámetros'!C19*(X95-'⚙ Parámetros'!B19))),'⚙ Parámetros'!G19/(1+2^(-'⚙ Parámetros'!F19*(X95-'⚙ Parámetros'!E19))),1)*X95)/(30/100*MAX('⚙ Parámetros'!D19/(1+2^(-'⚙ Parámetros'!C19*(V95-'⚙ Parámetros'!B19))),'⚙ Parámetros'!G19/(1+2^(-'⚙ Parámetros'!F19*(V95-'⚙ Parámetros'!E19))),1)+35/100*MAX('⚙ Parámetros'!D19/(1+2^(-'⚙ Parámetros'!C19*(W95-'⚙ Parámetros'!B19))),'⚙ Parámetros'!G19/(1+2^(-'⚙ Parámetros'!F19*(W95-'⚙ Parámetros'!E19))),1)+35/100*MAX('⚙ Parámetros'!D19/(1+2^(-'⚙ Parámetros'!C19*(X95-'⚙ Parámetros'!B19))),'⚙ Parámetros'!G19/(1+2^(-'⚙ Parámetros'!F19*(X95-'⚙ Parámetros'!E19))),1)),0)</f>
        <v>4.7123287671232879</v>
      </c>
      <c r="AG95" s="80">
        <f>IFERROR((35/100*MAX('⚙ Parámetros'!D20/(1+2^(-'⚙ Parámetros'!C20*(Y95-'⚙ Parámetros'!B20))),'⚙ Parámetros'!G20/(1+2^(-'⚙ Parámetros'!F20*(Y95-'⚙ Parámetros'!E20))),1)*Y95+35/100*MAX('⚙ Parámetros'!D20/(1+2^(-'⚙ Parámetros'!C20*(Z95-'⚙ Parámetros'!B20))),'⚙ Parámetros'!G20/(1+2^(-'⚙ Parámetros'!F20*(Z95-'⚙ Parámetros'!E20))),1)*Z95+30/100*MAX('⚙ Parámetros'!D20/(1+2^(-'⚙ Parámetros'!C20*(AA95-'⚙ Parámetros'!B20))),'⚙ Parámetros'!G20/(1+2^(-'⚙ Parámetros'!F20*(AA95-'⚙ Parámetros'!E20))),1)*AA95)/(35/100*MAX('⚙ Parámetros'!D20/(1+2^(-'⚙ Parámetros'!C20*(Y95-'⚙ Parámetros'!B20))),'⚙ Parámetros'!G20/(1+2^(-'⚙ Parámetros'!F20*(Y95-'⚙ Parámetros'!E20))),1)+35/100*MAX('⚙ Parámetros'!D20/(1+2^(-'⚙ Parámetros'!C20*(Z95-'⚙ Parámetros'!B20))),'⚙ Parámetros'!G20/(1+2^(-'⚙ Parámetros'!F20*(Z95-'⚙ Parámetros'!E20))),1)+30/100*MAX('⚙ Parámetros'!D20/(1+2^(-'⚙ Parámetros'!C20*(AA95-'⚙ Parámetros'!B20))),'⚙ Parámetros'!G20/(1+2^(-'⚙ Parámetros'!F20*(AA95-'⚙ Parámetros'!E20))),1)),0)</f>
        <v>3.7272727272727275</v>
      </c>
      <c r="AH95" s="81">
        <f>('⚙ Parámetros'!B5/100*AB95+'⚙ Parámetros'!B6/100*AC95+'⚙ Parámetros'!B7/100*AD95+'⚙ Parámetros'!B8/100*AE95+'⚙ Parámetros'!B9/100*AF95+'⚙ Parámetros'!B10/100*AG95)</f>
        <v>3.1065575520370046</v>
      </c>
      <c r="AI95" s="33">
        <f ca="1">MIN(1+MAX(0,TODAY()-DATE(2026,2,20))/365*'⚙ Parámetros'!B33,'⚙ Parámetros'!B34)</f>
        <v>1.046027397260274</v>
      </c>
      <c r="AJ95" s="82">
        <f t="shared" ca="1" si="4"/>
        <v>3.2495443105965163</v>
      </c>
      <c r="AK95" s="83" t="str">
        <f ca="1">IF(AB95&gt;='⚙ Parámetros'!B23,"⚑ AUTO-PRIOR.(D1≥8)",IF(AJ95&gt;='⚙ Parámetros'!B23,"PRIORITARIO",IF(AJ95&gt;='⚙ Parámetros'!B24,"ALTA PRIORIDAD",IF(AJ95&gt;='⚙ Parámetros'!B25,"PRIORIDAD MEDIA",IF(AJ95&gt;='⚙ Parámetros'!B26,"BAJA PRIORIDAD","DESCARTAR")))))</f>
        <v>DESCARTAR</v>
      </c>
      <c r="AL95" s="84" t="str">
        <f t="shared" si="5"/>
        <v>—</v>
      </c>
      <c r="AM95" s="85">
        <v>46</v>
      </c>
      <c r="AN95" s="83" t="str">
        <f>IF(AM95="","—",IF(AM95&lt;'⚙ Parámetros'!B29,"🟢 Corto",IF(AM95&lt;'⚙ Parámetros'!B30,"🟡 Medio","🔴 Largo")))</f>
        <v>🟡 Medio</v>
      </c>
    </row>
    <row r="96" spans="1:40" ht="18.75" customHeight="1" x14ac:dyDescent="0.25">
      <c r="A96" s="69">
        <v>92</v>
      </c>
      <c r="B96" s="30" t="s">
        <v>317</v>
      </c>
      <c r="C96" s="26" t="s">
        <v>147</v>
      </c>
      <c r="D96" s="71" t="s">
        <v>139</v>
      </c>
      <c r="E96" s="72" t="s">
        <v>140</v>
      </c>
      <c r="F96" s="74">
        <v>1</v>
      </c>
      <c r="G96" s="74">
        <v>1</v>
      </c>
      <c r="H96" s="74">
        <v>1</v>
      </c>
      <c r="I96" s="74">
        <v>1</v>
      </c>
      <c r="J96" s="86">
        <v>7</v>
      </c>
      <c r="K96" s="74">
        <v>1</v>
      </c>
      <c r="L96" s="86">
        <v>7</v>
      </c>
      <c r="M96" s="86">
        <v>3</v>
      </c>
      <c r="N96" s="74">
        <v>1</v>
      </c>
      <c r="O96" s="74">
        <v>1</v>
      </c>
      <c r="P96" s="74">
        <v>1</v>
      </c>
      <c r="Q96" s="74">
        <v>1</v>
      </c>
      <c r="R96" s="86">
        <v>5</v>
      </c>
      <c r="S96" s="86">
        <v>5</v>
      </c>
      <c r="T96" s="86">
        <v>5</v>
      </c>
      <c r="U96" s="86">
        <v>5</v>
      </c>
      <c r="V96" s="86">
        <v>5</v>
      </c>
      <c r="W96" s="86">
        <v>6</v>
      </c>
      <c r="X96" s="86">
        <v>3</v>
      </c>
      <c r="Y96" s="86">
        <v>4</v>
      </c>
      <c r="Z96" s="74">
        <v>2</v>
      </c>
      <c r="AA96" s="86">
        <v>5</v>
      </c>
      <c r="AB96" s="89">
        <f>IFERROR((30/100*MAX('⚙ Parámetros'!D15/(1+2^(-'⚙ Parámetros'!C15*(F96-'⚙ Parámetros'!B15))),'⚙ Parámetros'!G15/(1+2^(-'⚙ Parámetros'!F15*(F96-'⚙ Parámetros'!E15))),1)*F96+30/100*MAX('⚙ Parámetros'!D15/(1+2^(-'⚙ Parámetros'!C15*(G96-'⚙ Parámetros'!B15))),'⚙ Parámetros'!G15/(1+2^(-'⚙ Parámetros'!F15*(G96-'⚙ Parámetros'!E15))),1)*G96+20/100*MAX('⚙ Parámetros'!D15/(1+2^(-'⚙ Parámetros'!C15*(H96-'⚙ Parámetros'!B15))),'⚙ Parámetros'!G15/(1+2^(-'⚙ Parámetros'!F15*(H96-'⚙ Parámetros'!E15))),1)*H96+20/100*MAX('⚙ Parámetros'!D15/(1+2^(-'⚙ Parámetros'!C15*(I96-'⚙ Parámetros'!B15))),'⚙ Parámetros'!G15/(1+2^(-'⚙ Parámetros'!F15*(I96-'⚙ Parámetros'!E15))),1)*I96)/(30/100*MAX('⚙ Parámetros'!D15/(1+2^(-'⚙ Parámetros'!C15*(F96-'⚙ Parámetros'!B15))),'⚙ Parámetros'!G15/(1+2^(-'⚙ Parámetros'!F15*(F96-'⚙ Parámetros'!E15))),1)+30/100*MAX('⚙ Parámetros'!D15/(1+2^(-'⚙ Parámetros'!C15*(G96-'⚙ Parámetros'!B15))),'⚙ Parámetros'!G15/(1+2^(-'⚙ Parámetros'!F15*(G96-'⚙ Parámetros'!E15))),1)+20/100*MAX('⚙ Parámetros'!D15/(1+2^(-'⚙ Parámetros'!C15*(H96-'⚙ Parámetros'!B15))),'⚙ Parámetros'!G15/(1+2^(-'⚙ Parámetros'!F15*(H96-'⚙ Parámetros'!E15))),1)+20/100*MAX('⚙ Parámetros'!D15/(1+2^(-'⚙ Parámetros'!C15*(I96-'⚙ Parámetros'!B15))),'⚙ Parámetros'!G15/(1+2^(-'⚙ Parámetros'!F15*(I96-'⚙ Parámetros'!E15))),1)),0)</f>
        <v>1</v>
      </c>
      <c r="AC96" s="89">
        <f>IFERROR((35/100*MAX('⚙ Parámetros'!D16/(1+2^(-'⚙ Parámetros'!C16*(J96-'⚙ Parámetros'!B16))),'⚙ Parámetros'!G16/(1+2^(-'⚙ Parámetros'!F16*(J96-'⚙ Parámetros'!E16))),1)*J96+25/100*MAX('⚙ Parámetros'!D16/(1+2^(-'⚙ Parámetros'!C16*(K96-'⚙ Parámetros'!B16))),'⚙ Parámetros'!G16/(1+2^(-'⚙ Parámetros'!F16*(K96-'⚙ Parámetros'!E16))),1)*K96+20/100*MAX('⚙ Parámetros'!D16/(1+2^(-'⚙ Parámetros'!C16*(L96-'⚙ Parámetros'!B16))),'⚙ Parámetros'!G16/(1+2^(-'⚙ Parámetros'!F16*(L96-'⚙ Parámetros'!E16))),1)*L96+20/100*MAX('⚙ Parámetros'!D16/(1+2^(-'⚙ Parámetros'!C16*(M96-'⚙ Parámetros'!B16))),'⚙ Parámetros'!G16/(1+2^(-'⚙ Parámetros'!F16*(M96-'⚙ Parámetros'!E16))),1)*M96)/(35/100*MAX('⚙ Parámetros'!D16/(1+2^(-'⚙ Parámetros'!C16*(J96-'⚙ Parámetros'!B16))),'⚙ Parámetros'!G16/(1+2^(-'⚙ Parámetros'!F16*(J96-'⚙ Parámetros'!E16))),1)+25/100*MAX('⚙ Parámetros'!D16/(1+2^(-'⚙ Parámetros'!C16*(K96-'⚙ Parámetros'!B16))),'⚙ Parámetros'!G16/(1+2^(-'⚙ Parámetros'!F16*(K96-'⚙ Parámetros'!E16))),1)+20/100*MAX('⚙ Parámetros'!D16/(1+2^(-'⚙ Parámetros'!C16*(L96-'⚙ Parámetros'!B16))),'⚙ Parámetros'!G16/(1+2^(-'⚙ Parámetros'!F16*(L96-'⚙ Parámetros'!E16))),1)+20/100*MAX('⚙ Parámetros'!D16/(1+2^(-'⚙ Parámetros'!C16*(M96-'⚙ Parámetros'!B16))),'⚙ Parámetros'!G16/(1+2^(-'⚙ Parámetros'!F16*(M96-'⚙ Parámetros'!E16))),1)),0)</f>
        <v>5.8000000000000007</v>
      </c>
      <c r="AD96" s="89">
        <f>IFERROR((30/100*MAX('⚙ Parámetros'!D17/(1+2^(-'⚙ Parámetros'!C17*(N96-'⚙ Parámetros'!B17))),'⚙ Parámetros'!G17/(1+2^(-'⚙ Parámetros'!F17*(N96-'⚙ Parámetros'!E17))),1)*N96+25/100*MAX('⚙ Parámetros'!D17/(1+2^(-'⚙ Parámetros'!C17*(O96-'⚙ Parámetros'!B17))),'⚙ Parámetros'!G17/(1+2^(-'⚙ Parámetros'!F17*(O96-'⚙ Parámetros'!E17))),1)*O96+25/100*MAX('⚙ Parámetros'!D17/(1+2^(-'⚙ Parámetros'!C17*(P96-'⚙ Parámetros'!B17))),'⚙ Parámetros'!G17/(1+2^(-'⚙ Parámetros'!F17*(P96-'⚙ Parámetros'!E17))),1)*P96+20/100*MAX('⚙ Parámetros'!D17/(1+2^(-'⚙ Parámetros'!C17*(Q96-'⚙ Parámetros'!B17))),'⚙ Parámetros'!G17/(1+2^(-'⚙ Parámetros'!F17*(Q96-'⚙ Parámetros'!E17))),1)*Q96)/(30/100*MAX('⚙ Parámetros'!D17/(1+2^(-'⚙ Parámetros'!C17*(N96-'⚙ Parámetros'!B17))),'⚙ Parámetros'!G17/(1+2^(-'⚙ Parámetros'!F17*(N96-'⚙ Parámetros'!E17))),1)+25/100*MAX('⚙ Parámetros'!D17/(1+2^(-'⚙ Parámetros'!C17*(O96-'⚙ Parámetros'!B17))),'⚙ Parámetros'!G17/(1+2^(-'⚙ Parámetros'!F17*(O96-'⚙ Parámetros'!E17))),1)+25/100*MAX('⚙ Parámetros'!D17/(1+2^(-'⚙ Parámetros'!C17*(P96-'⚙ Parámetros'!B17))),'⚙ Parámetros'!G17/(1+2^(-'⚙ Parámetros'!F17*(P96-'⚙ Parámetros'!E17))),1)+20/100*MAX('⚙ Parámetros'!D17/(1+2^(-'⚙ Parámetros'!C17*(Q96-'⚙ Parámetros'!B17))),'⚙ Parámetros'!G17/(1+2^(-'⚙ Parámetros'!F17*(Q96-'⚙ Parámetros'!E17))),1)),0)</f>
        <v>1</v>
      </c>
      <c r="AE96" s="89">
        <f>IFERROR((30/100*MAX('⚙ Parámetros'!D18/(1+2^(-'⚙ Parámetros'!C18*(R96-'⚙ Parámetros'!B18))),'⚙ Parámetros'!G18/(1+2^(-'⚙ Parámetros'!F18*(R96-'⚙ Parámetros'!E18))),1)*R96+30/100*MAX('⚙ Parámetros'!D18/(1+2^(-'⚙ Parámetros'!C18*(S96-'⚙ Parámetros'!B18))),'⚙ Parámetros'!G18/(1+2^(-'⚙ Parámetros'!F18*(S96-'⚙ Parámetros'!E18))),1)*S96+20/100*MAX('⚙ Parámetros'!D18/(1+2^(-'⚙ Parámetros'!C18*(T96-'⚙ Parámetros'!B18))),'⚙ Parámetros'!G18/(1+2^(-'⚙ Parámetros'!F18*(T96-'⚙ Parámetros'!E18))),1)*T96+20/100*MAX('⚙ Parámetros'!D18/(1+2^(-'⚙ Parámetros'!C18*(U96-'⚙ Parámetros'!B18))),'⚙ Parámetros'!G18/(1+2^(-'⚙ Parámetros'!F18*(U96-'⚙ Parámetros'!E18))),1)*U96)/(30/100*MAX('⚙ Parámetros'!D18/(1+2^(-'⚙ Parámetros'!C18*(R96-'⚙ Parámetros'!B18))),'⚙ Parámetros'!G18/(1+2^(-'⚙ Parámetros'!F18*(R96-'⚙ Parámetros'!E18))),1)+30/100*MAX('⚙ Parámetros'!D18/(1+2^(-'⚙ Parámetros'!C18*(S96-'⚙ Parámetros'!B18))),'⚙ Parámetros'!G18/(1+2^(-'⚙ Parámetros'!F18*(S96-'⚙ Parámetros'!E18))),1)+20/100*MAX('⚙ Parámetros'!D18/(1+2^(-'⚙ Parámetros'!C18*(T96-'⚙ Parámetros'!B18))),'⚙ Parámetros'!G18/(1+2^(-'⚙ Parámetros'!F18*(T96-'⚙ Parámetros'!E18))),1)+20/100*MAX('⚙ Parámetros'!D18/(1+2^(-'⚙ Parámetros'!C18*(U96-'⚙ Parámetros'!B18))),'⚙ Parámetros'!G18/(1+2^(-'⚙ Parámetros'!F18*(U96-'⚙ Parámetros'!E18))),1)),0)</f>
        <v>5</v>
      </c>
      <c r="AF96" s="89">
        <f>IFERROR((30/100*MAX('⚙ Parámetros'!D19/(1+2^(-'⚙ Parámetros'!C19*(V96-'⚙ Parámetros'!B19))),'⚙ Parámetros'!G19/(1+2^(-'⚙ Parámetros'!F19*(V96-'⚙ Parámetros'!E19))),1)*V96+35/100*MAX('⚙ Parámetros'!D19/(1+2^(-'⚙ Parámetros'!C19*(W96-'⚙ Parámetros'!B19))),'⚙ Parámetros'!G19/(1+2^(-'⚙ Parámetros'!F19*(W96-'⚙ Parámetros'!E19))),1)*W96+35/100*MAX('⚙ Parámetros'!D19/(1+2^(-'⚙ Parámetros'!C19*(X96-'⚙ Parámetros'!B19))),'⚙ Parámetros'!G19/(1+2^(-'⚙ Parámetros'!F19*(X96-'⚙ Parámetros'!E19))),1)*X96)/(30/100*MAX('⚙ Parámetros'!D19/(1+2^(-'⚙ Parámetros'!C19*(V96-'⚙ Parámetros'!B19))),'⚙ Parámetros'!G19/(1+2^(-'⚙ Parámetros'!F19*(V96-'⚙ Parámetros'!E19))),1)+35/100*MAX('⚙ Parámetros'!D19/(1+2^(-'⚙ Parámetros'!C19*(W96-'⚙ Parámetros'!B19))),'⚙ Parámetros'!G19/(1+2^(-'⚙ Parámetros'!F19*(W96-'⚙ Parámetros'!E19))),1)+35/100*MAX('⚙ Parámetros'!D19/(1+2^(-'⚙ Parámetros'!C19*(X96-'⚙ Parámetros'!B19))),'⚙ Parámetros'!G19/(1+2^(-'⚙ Parámetros'!F19*(X96-'⚙ Parámetros'!E19))),1)),0)</f>
        <v>5.0782122905027931</v>
      </c>
      <c r="AG96" s="89">
        <f>IFERROR((35/100*MAX('⚙ Parámetros'!D20/(1+2^(-'⚙ Parámetros'!C20*(Y96-'⚙ Parámetros'!B20))),'⚙ Parámetros'!G20/(1+2^(-'⚙ Parámetros'!F20*(Y96-'⚙ Parámetros'!E20))),1)*Y96+35/100*MAX('⚙ Parámetros'!D20/(1+2^(-'⚙ Parámetros'!C20*(Z96-'⚙ Parámetros'!B20))),'⚙ Parámetros'!G20/(1+2^(-'⚙ Parámetros'!F20*(Z96-'⚙ Parámetros'!E20))),1)*Z96+30/100*MAX('⚙ Parámetros'!D20/(1+2^(-'⚙ Parámetros'!C20*(AA96-'⚙ Parámetros'!B20))),'⚙ Parámetros'!G20/(1+2^(-'⚙ Parámetros'!F20*(AA96-'⚙ Parámetros'!E20))),1)*AA96)/(35/100*MAX('⚙ Parámetros'!D20/(1+2^(-'⚙ Parámetros'!C20*(Y96-'⚙ Parámetros'!B20))),'⚙ Parámetros'!G20/(1+2^(-'⚙ Parámetros'!F20*(Y96-'⚙ Parámetros'!E20))),1)+35/100*MAX('⚙ Parámetros'!D20/(1+2^(-'⚙ Parámetros'!C20*(Z96-'⚙ Parámetros'!B20))),'⚙ Parámetros'!G20/(1+2^(-'⚙ Parámetros'!F20*(Z96-'⚙ Parámetros'!E20))),1)+30/100*MAX('⚙ Parámetros'!D20/(1+2^(-'⚙ Parámetros'!C20*(AA96-'⚙ Parámetros'!B20))),'⚙ Parámetros'!G20/(1+2^(-'⚙ Parámetros'!F20*(AA96-'⚙ Parámetros'!E20))),1)),0)</f>
        <v>3.7272727272727275</v>
      </c>
      <c r="AH96" s="90">
        <f>('⚙ Parámetros'!B5/100*AB96+'⚙ Parámetros'!B6/100*AC96+'⚙ Parámetros'!B7/100*AD96+'⚙ Parámetros'!B8/100*AE96+'⚙ Parámetros'!B9/100*AF96+'⚙ Parámetros'!B10/100*AG96)</f>
        <v>3.066003047232098</v>
      </c>
      <c r="AI96" s="91">
        <f ca="1">MIN(1+MAX(0,TODAY()-DATE(2026,4,23))/365*'⚙ Parámetros'!B33,'⚙ Parámetros'!B34)</f>
        <v>1.0205479452054795</v>
      </c>
      <c r="AJ96" s="82">
        <f t="shared" ca="1" si="4"/>
        <v>3.1290031098464564</v>
      </c>
      <c r="AK96" s="92" t="str">
        <f ca="1">IF(AB96&gt;='⚙ Parámetros'!B23,"⚑ AUTO-PRIOR.(D1≥8)",IF(AJ96&gt;='⚙ Parámetros'!B23,"PRIORITARIO",IF(AJ96&gt;='⚙ Parámetros'!B24,"ALTA PRIORIDAD",IF(AJ96&gt;='⚙ Parámetros'!B25,"PRIORIDAD MEDIA",IF(AJ96&gt;='⚙ Parámetros'!B26,"BAJA PRIORIDAD","DESCARTAR")))))</f>
        <v>DESCARTAR</v>
      </c>
      <c r="AL96" s="69" t="str">
        <f t="shared" si="5"/>
        <v>—</v>
      </c>
      <c r="AM96" s="85">
        <v>32</v>
      </c>
      <c r="AN96" s="83" t="str">
        <f>IF(AM96="","—",IF(AM96&lt;'⚙ Parámetros'!B29,"🟢 Corto",IF(AM96&lt;'⚙ Parámetros'!B30,"🟡 Medio","🔴 Largo")))</f>
        <v>🟡 Medio</v>
      </c>
    </row>
    <row r="97" spans="1:40" ht="18.75" customHeight="1" x14ac:dyDescent="0.25">
      <c r="A97" s="69">
        <v>93</v>
      </c>
      <c r="B97" s="70" t="s">
        <v>318</v>
      </c>
      <c r="C97" s="4" t="s">
        <v>135</v>
      </c>
      <c r="D97" s="71" t="s">
        <v>139</v>
      </c>
      <c r="E97" s="72" t="s">
        <v>261</v>
      </c>
      <c r="F97" s="74">
        <v>1</v>
      </c>
      <c r="G97" s="74">
        <v>1</v>
      </c>
      <c r="H97" s="74">
        <v>1</v>
      </c>
      <c r="I97" s="74">
        <v>1</v>
      </c>
      <c r="J97" s="73">
        <v>7</v>
      </c>
      <c r="K97" s="74">
        <v>1</v>
      </c>
      <c r="L97" s="73">
        <v>7</v>
      </c>
      <c r="M97" s="73">
        <v>3</v>
      </c>
      <c r="N97" s="74">
        <v>1</v>
      </c>
      <c r="O97" s="74">
        <v>1</v>
      </c>
      <c r="P97" s="74">
        <v>1</v>
      </c>
      <c r="Q97" s="74">
        <v>1</v>
      </c>
      <c r="R97" s="73">
        <v>5</v>
      </c>
      <c r="S97" s="73">
        <v>5</v>
      </c>
      <c r="T97" s="73">
        <v>5</v>
      </c>
      <c r="U97" s="73">
        <v>5</v>
      </c>
      <c r="V97" s="73">
        <v>5</v>
      </c>
      <c r="W97" s="73">
        <v>6</v>
      </c>
      <c r="X97" s="73">
        <v>3</v>
      </c>
      <c r="Y97" s="73">
        <v>4</v>
      </c>
      <c r="Z97" s="74">
        <v>2</v>
      </c>
      <c r="AA97" s="73">
        <v>5</v>
      </c>
      <c r="AB97" s="80">
        <f>IFERROR((30/100*MAX('⚙ Parámetros'!D15/(1+2^(-'⚙ Parámetros'!C15*(F97-'⚙ Parámetros'!B15))),'⚙ Parámetros'!G15/(1+2^(-'⚙ Parámetros'!F15*(F97-'⚙ Parámetros'!E15))),1)*F97+30/100*MAX('⚙ Parámetros'!D15/(1+2^(-'⚙ Parámetros'!C15*(G97-'⚙ Parámetros'!B15))),'⚙ Parámetros'!G15/(1+2^(-'⚙ Parámetros'!F15*(G97-'⚙ Parámetros'!E15))),1)*G97+20/100*MAX('⚙ Parámetros'!D15/(1+2^(-'⚙ Parámetros'!C15*(H97-'⚙ Parámetros'!B15))),'⚙ Parámetros'!G15/(1+2^(-'⚙ Parámetros'!F15*(H97-'⚙ Parámetros'!E15))),1)*H97+20/100*MAX('⚙ Parámetros'!D15/(1+2^(-'⚙ Parámetros'!C15*(I97-'⚙ Parámetros'!B15))),'⚙ Parámetros'!G15/(1+2^(-'⚙ Parámetros'!F15*(I97-'⚙ Parámetros'!E15))),1)*I97)/(30/100*MAX('⚙ Parámetros'!D15/(1+2^(-'⚙ Parámetros'!C15*(F97-'⚙ Parámetros'!B15))),'⚙ Parámetros'!G15/(1+2^(-'⚙ Parámetros'!F15*(F97-'⚙ Parámetros'!E15))),1)+30/100*MAX('⚙ Parámetros'!D15/(1+2^(-'⚙ Parámetros'!C15*(G97-'⚙ Parámetros'!B15))),'⚙ Parámetros'!G15/(1+2^(-'⚙ Parámetros'!F15*(G97-'⚙ Parámetros'!E15))),1)+20/100*MAX('⚙ Parámetros'!D15/(1+2^(-'⚙ Parámetros'!C15*(H97-'⚙ Parámetros'!B15))),'⚙ Parámetros'!G15/(1+2^(-'⚙ Parámetros'!F15*(H97-'⚙ Parámetros'!E15))),1)+20/100*MAX('⚙ Parámetros'!D15/(1+2^(-'⚙ Parámetros'!C15*(I97-'⚙ Parámetros'!B15))),'⚙ Parámetros'!G15/(1+2^(-'⚙ Parámetros'!F15*(I97-'⚙ Parámetros'!E15))),1)),0)</f>
        <v>1</v>
      </c>
      <c r="AC97" s="80">
        <f>IFERROR((35/100*MAX('⚙ Parámetros'!D16/(1+2^(-'⚙ Parámetros'!C16*(J97-'⚙ Parámetros'!B16))),'⚙ Parámetros'!G16/(1+2^(-'⚙ Parámetros'!F16*(J97-'⚙ Parámetros'!E16))),1)*J97+25/100*MAX('⚙ Parámetros'!D16/(1+2^(-'⚙ Parámetros'!C16*(K97-'⚙ Parámetros'!B16))),'⚙ Parámetros'!G16/(1+2^(-'⚙ Parámetros'!F16*(K97-'⚙ Parámetros'!E16))),1)*K97+20/100*MAX('⚙ Parámetros'!D16/(1+2^(-'⚙ Parámetros'!C16*(L97-'⚙ Parámetros'!B16))),'⚙ Parámetros'!G16/(1+2^(-'⚙ Parámetros'!F16*(L97-'⚙ Parámetros'!E16))),1)*L97+20/100*MAX('⚙ Parámetros'!D16/(1+2^(-'⚙ Parámetros'!C16*(M97-'⚙ Parámetros'!B16))),'⚙ Parámetros'!G16/(1+2^(-'⚙ Parámetros'!F16*(M97-'⚙ Parámetros'!E16))),1)*M97)/(35/100*MAX('⚙ Parámetros'!D16/(1+2^(-'⚙ Parámetros'!C16*(J97-'⚙ Parámetros'!B16))),'⚙ Parámetros'!G16/(1+2^(-'⚙ Parámetros'!F16*(J97-'⚙ Parámetros'!E16))),1)+25/100*MAX('⚙ Parámetros'!D16/(1+2^(-'⚙ Parámetros'!C16*(K97-'⚙ Parámetros'!B16))),'⚙ Parámetros'!G16/(1+2^(-'⚙ Parámetros'!F16*(K97-'⚙ Parámetros'!E16))),1)+20/100*MAX('⚙ Parámetros'!D16/(1+2^(-'⚙ Parámetros'!C16*(L97-'⚙ Parámetros'!B16))),'⚙ Parámetros'!G16/(1+2^(-'⚙ Parámetros'!F16*(L97-'⚙ Parámetros'!E16))),1)+20/100*MAX('⚙ Parámetros'!D16/(1+2^(-'⚙ Parámetros'!C16*(M97-'⚙ Parámetros'!B16))),'⚙ Parámetros'!G16/(1+2^(-'⚙ Parámetros'!F16*(M97-'⚙ Parámetros'!E16))),1)),0)</f>
        <v>5.8000000000000007</v>
      </c>
      <c r="AD97" s="80">
        <f>IFERROR((30/100*MAX('⚙ Parámetros'!D17/(1+2^(-'⚙ Parámetros'!C17*(N97-'⚙ Parámetros'!B17))),'⚙ Parámetros'!G17/(1+2^(-'⚙ Parámetros'!F17*(N97-'⚙ Parámetros'!E17))),1)*N97+25/100*MAX('⚙ Parámetros'!D17/(1+2^(-'⚙ Parámetros'!C17*(O97-'⚙ Parámetros'!B17))),'⚙ Parámetros'!G17/(1+2^(-'⚙ Parámetros'!F17*(O97-'⚙ Parámetros'!E17))),1)*O97+25/100*MAX('⚙ Parámetros'!D17/(1+2^(-'⚙ Parámetros'!C17*(P97-'⚙ Parámetros'!B17))),'⚙ Parámetros'!G17/(1+2^(-'⚙ Parámetros'!F17*(P97-'⚙ Parámetros'!E17))),1)*P97+20/100*MAX('⚙ Parámetros'!D17/(1+2^(-'⚙ Parámetros'!C17*(Q97-'⚙ Parámetros'!B17))),'⚙ Parámetros'!G17/(1+2^(-'⚙ Parámetros'!F17*(Q97-'⚙ Parámetros'!E17))),1)*Q97)/(30/100*MAX('⚙ Parámetros'!D17/(1+2^(-'⚙ Parámetros'!C17*(N97-'⚙ Parámetros'!B17))),'⚙ Parámetros'!G17/(1+2^(-'⚙ Parámetros'!F17*(N97-'⚙ Parámetros'!E17))),1)+25/100*MAX('⚙ Parámetros'!D17/(1+2^(-'⚙ Parámetros'!C17*(O97-'⚙ Parámetros'!B17))),'⚙ Parámetros'!G17/(1+2^(-'⚙ Parámetros'!F17*(O97-'⚙ Parámetros'!E17))),1)+25/100*MAX('⚙ Parámetros'!D17/(1+2^(-'⚙ Parámetros'!C17*(P97-'⚙ Parámetros'!B17))),'⚙ Parámetros'!G17/(1+2^(-'⚙ Parámetros'!F17*(P97-'⚙ Parámetros'!E17))),1)+20/100*MAX('⚙ Parámetros'!D17/(1+2^(-'⚙ Parámetros'!C17*(Q97-'⚙ Parámetros'!B17))),'⚙ Parámetros'!G17/(1+2^(-'⚙ Parámetros'!F17*(Q97-'⚙ Parámetros'!E17))),1)),0)</f>
        <v>1</v>
      </c>
      <c r="AE97" s="80">
        <f>IFERROR((30/100*MAX('⚙ Parámetros'!D18/(1+2^(-'⚙ Parámetros'!C18*(R97-'⚙ Parámetros'!B18))),'⚙ Parámetros'!G18/(1+2^(-'⚙ Parámetros'!F18*(R97-'⚙ Parámetros'!E18))),1)*R97+30/100*MAX('⚙ Parámetros'!D18/(1+2^(-'⚙ Parámetros'!C18*(S97-'⚙ Parámetros'!B18))),'⚙ Parámetros'!G18/(1+2^(-'⚙ Parámetros'!F18*(S97-'⚙ Parámetros'!E18))),1)*S97+20/100*MAX('⚙ Parámetros'!D18/(1+2^(-'⚙ Parámetros'!C18*(T97-'⚙ Parámetros'!B18))),'⚙ Parámetros'!G18/(1+2^(-'⚙ Parámetros'!F18*(T97-'⚙ Parámetros'!E18))),1)*T97+20/100*MAX('⚙ Parámetros'!D18/(1+2^(-'⚙ Parámetros'!C18*(U97-'⚙ Parámetros'!B18))),'⚙ Parámetros'!G18/(1+2^(-'⚙ Parámetros'!F18*(U97-'⚙ Parámetros'!E18))),1)*U97)/(30/100*MAX('⚙ Parámetros'!D18/(1+2^(-'⚙ Parámetros'!C18*(R97-'⚙ Parámetros'!B18))),'⚙ Parámetros'!G18/(1+2^(-'⚙ Parámetros'!F18*(R97-'⚙ Parámetros'!E18))),1)+30/100*MAX('⚙ Parámetros'!D18/(1+2^(-'⚙ Parámetros'!C18*(S97-'⚙ Parámetros'!B18))),'⚙ Parámetros'!G18/(1+2^(-'⚙ Parámetros'!F18*(S97-'⚙ Parámetros'!E18))),1)+20/100*MAX('⚙ Parámetros'!D18/(1+2^(-'⚙ Parámetros'!C18*(T97-'⚙ Parámetros'!B18))),'⚙ Parámetros'!G18/(1+2^(-'⚙ Parámetros'!F18*(T97-'⚙ Parámetros'!E18))),1)+20/100*MAX('⚙ Parámetros'!D18/(1+2^(-'⚙ Parámetros'!C18*(U97-'⚙ Parámetros'!B18))),'⚙ Parámetros'!G18/(1+2^(-'⚙ Parámetros'!F18*(U97-'⚙ Parámetros'!E18))),1)),0)</f>
        <v>5</v>
      </c>
      <c r="AF97" s="80">
        <f>IFERROR((30/100*MAX('⚙ Parámetros'!D19/(1+2^(-'⚙ Parámetros'!C19*(V97-'⚙ Parámetros'!B19))),'⚙ Parámetros'!G19/(1+2^(-'⚙ Parámetros'!F19*(V97-'⚙ Parámetros'!E19))),1)*V97+35/100*MAX('⚙ Parámetros'!D19/(1+2^(-'⚙ Parámetros'!C19*(W97-'⚙ Parámetros'!B19))),'⚙ Parámetros'!G19/(1+2^(-'⚙ Parámetros'!F19*(W97-'⚙ Parámetros'!E19))),1)*W97+35/100*MAX('⚙ Parámetros'!D19/(1+2^(-'⚙ Parámetros'!C19*(X97-'⚙ Parámetros'!B19))),'⚙ Parámetros'!G19/(1+2^(-'⚙ Parámetros'!F19*(X97-'⚙ Parámetros'!E19))),1)*X97)/(30/100*MAX('⚙ Parámetros'!D19/(1+2^(-'⚙ Parámetros'!C19*(V97-'⚙ Parámetros'!B19))),'⚙ Parámetros'!G19/(1+2^(-'⚙ Parámetros'!F19*(V97-'⚙ Parámetros'!E19))),1)+35/100*MAX('⚙ Parámetros'!D19/(1+2^(-'⚙ Parámetros'!C19*(W97-'⚙ Parámetros'!B19))),'⚙ Parámetros'!G19/(1+2^(-'⚙ Parámetros'!F19*(W97-'⚙ Parámetros'!E19))),1)+35/100*MAX('⚙ Parámetros'!D19/(1+2^(-'⚙ Parámetros'!C19*(X97-'⚙ Parámetros'!B19))),'⚙ Parámetros'!G19/(1+2^(-'⚙ Parámetros'!F19*(X97-'⚙ Parámetros'!E19))),1)),0)</f>
        <v>5.0782122905027931</v>
      </c>
      <c r="AG97" s="80">
        <f>IFERROR((35/100*MAX('⚙ Parámetros'!D20/(1+2^(-'⚙ Parámetros'!C20*(Y97-'⚙ Parámetros'!B20))),'⚙ Parámetros'!G20/(1+2^(-'⚙ Parámetros'!F20*(Y97-'⚙ Parámetros'!E20))),1)*Y97+35/100*MAX('⚙ Parámetros'!D20/(1+2^(-'⚙ Parámetros'!C20*(Z97-'⚙ Parámetros'!B20))),'⚙ Parámetros'!G20/(1+2^(-'⚙ Parámetros'!F20*(Z97-'⚙ Parámetros'!E20))),1)*Z97+30/100*MAX('⚙ Parámetros'!D20/(1+2^(-'⚙ Parámetros'!C20*(AA97-'⚙ Parámetros'!B20))),'⚙ Parámetros'!G20/(1+2^(-'⚙ Parámetros'!F20*(AA97-'⚙ Parámetros'!E20))),1)*AA97)/(35/100*MAX('⚙ Parámetros'!D20/(1+2^(-'⚙ Parámetros'!C20*(Y97-'⚙ Parámetros'!B20))),'⚙ Parámetros'!G20/(1+2^(-'⚙ Parámetros'!F20*(Y97-'⚙ Parámetros'!E20))),1)+35/100*MAX('⚙ Parámetros'!D20/(1+2^(-'⚙ Parámetros'!C20*(Z97-'⚙ Parámetros'!B20))),'⚙ Parámetros'!G20/(1+2^(-'⚙ Parámetros'!F20*(Z97-'⚙ Parámetros'!E20))),1)+30/100*MAX('⚙ Parámetros'!D20/(1+2^(-'⚙ Parámetros'!C20*(AA97-'⚙ Parámetros'!B20))),'⚙ Parámetros'!G20/(1+2^(-'⚙ Parámetros'!F20*(AA97-'⚙ Parámetros'!E20))),1)),0)</f>
        <v>3.7272727272727275</v>
      </c>
      <c r="AH97" s="81">
        <f>('⚙ Parámetros'!B5/100*AB97+'⚙ Parámetros'!B6/100*AC97+'⚙ Parámetros'!B7/100*AD97+'⚙ Parámetros'!B8/100*AE97+'⚙ Parámetros'!B9/100*AF97+'⚙ Parámetros'!B10/100*AG97)</f>
        <v>3.066003047232098</v>
      </c>
      <c r="AI97" s="33">
        <f ca="1">MIN(1+MAX(0,TODAY()-DATE(2026,4,16))/365*'⚙ Parámetros'!B33,'⚙ Parámetros'!B34)</f>
        <v>1.0234246575342465</v>
      </c>
      <c r="AJ97" s="82">
        <f t="shared" ca="1" si="4"/>
        <v>3.1378231186124661</v>
      </c>
      <c r="AK97" s="83" t="str">
        <f ca="1">IF(AB97&gt;='⚙ Parámetros'!B23,"⚑ AUTO-PRIOR.(D1≥8)",IF(AJ97&gt;='⚙ Parámetros'!B23,"PRIORITARIO",IF(AJ97&gt;='⚙ Parámetros'!B24,"ALTA PRIORIDAD",IF(AJ97&gt;='⚙ Parámetros'!B25,"PRIORIDAD MEDIA",IF(AJ97&gt;='⚙ Parámetros'!B26,"BAJA PRIORIDAD","DESCARTAR")))))</f>
        <v>DESCARTAR</v>
      </c>
      <c r="AL97" s="84" t="str">
        <f t="shared" si="5"/>
        <v>—</v>
      </c>
      <c r="AM97" s="85">
        <v>20</v>
      </c>
      <c r="AN97" s="83" t="str">
        <f>IF(AM97="","—",IF(AM97&lt;'⚙ Parámetros'!B29,"🟢 Corto",IF(AM97&lt;'⚙ Parámetros'!B30,"🟡 Medio","🔴 Largo")))</f>
        <v>🟢 Corto</v>
      </c>
    </row>
    <row r="98" spans="1:40" ht="18.75" customHeight="1" x14ac:dyDescent="0.25">
      <c r="A98" s="69">
        <v>94</v>
      </c>
      <c r="B98" s="30" t="s">
        <v>319</v>
      </c>
      <c r="C98" s="26" t="s">
        <v>147</v>
      </c>
      <c r="D98" s="71" t="s">
        <v>139</v>
      </c>
      <c r="E98" s="72" t="s">
        <v>154</v>
      </c>
      <c r="F98" s="74">
        <v>1</v>
      </c>
      <c r="G98" s="74">
        <v>1</v>
      </c>
      <c r="H98" s="74">
        <v>1</v>
      </c>
      <c r="I98" s="74">
        <v>1</v>
      </c>
      <c r="J98" s="74">
        <v>1</v>
      </c>
      <c r="K98" s="74">
        <v>1</v>
      </c>
      <c r="L98" s="74">
        <v>1</v>
      </c>
      <c r="M98" s="86">
        <v>3</v>
      </c>
      <c r="N98" s="86">
        <v>7</v>
      </c>
      <c r="O98" s="74">
        <v>1</v>
      </c>
      <c r="P98" s="74">
        <v>1</v>
      </c>
      <c r="Q98" s="86">
        <v>6</v>
      </c>
      <c r="R98" s="86">
        <v>5</v>
      </c>
      <c r="S98" s="86">
        <v>5</v>
      </c>
      <c r="T98" s="86">
        <v>5</v>
      </c>
      <c r="U98" s="86">
        <v>5</v>
      </c>
      <c r="V98" s="86">
        <v>5</v>
      </c>
      <c r="W98" s="86">
        <v>6</v>
      </c>
      <c r="X98" s="86">
        <v>6</v>
      </c>
      <c r="Y98" s="86">
        <v>4</v>
      </c>
      <c r="Z98" s="74">
        <v>2</v>
      </c>
      <c r="AA98" s="86">
        <v>5</v>
      </c>
      <c r="AB98" s="89">
        <f>IFERROR((30/100*MAX('⚙ Parámetros'!D15/(1+2^(-'⚙ Parámetros'!C15*(F98-'⚙ Parámetros'!B15))),'⚙ Parámetros'!G15/(1+2^(-'⚙ Parámetros'!F15*(F98-'⚙ Parámetros'!E15))),1)*F98+30/100*MAX('⚙ Parámetros'!D15/(1+2^(-'⚙ Parámetros'!C15*(G98-'⚙ Parámetros'!B15))),'⚙ Parámetros'!G15/(1+2^(-'⚙ Parámetros'!F15*(G98-'⚙ Parámetros'!E15))),1)*G98+20/100*MAX('⚙ Parámetros'!D15/(1+2^(-'⚙ Parámetros'!C15*(H98-'⚙ Parámetros'!B15))),'⚙ Parámetros'!G15/(1+2^(-'⚙ Parámetros'!F15*(H98-'⚙ Parámetros'!E15))),1)*H98+20/100*MAX('⚙ Parámetros'!D15/(1+2^(-'⚙ Parámetros'!C15*(I98-'⚙ Parámetros'!B15))),'⚙ Parámetros'!G15/(1+2^(-'⚙ Parámetros'!F15*(I98-'⚙ Parámetros'!E15))),1)*I98)/(30/100*MAX('⚙ Parámetros'!D15/(1+2^(-'⚙ Parámetros'!C15*(F98-'⚙ Parámetros'!B15))),'⚙ Parámetros'!G15/(1+2^(-'⚙ Parámetros'!F15*(F98-'⚙ Parámetros'!E15))),1)+30/100*MAX('⚙ Parámetros'!D15/(1+2^(-'⚙ Parámetros'!C15*(G98-'⚙ Parámetros'!B15))),'⚙ Parámetros'!G15/(1+2^(-'⚙ Parámetros'!F15*(G98-'⚙ Parámetros'!E15))),1)+20/100*MAX('⚙ Parámetros'!D15/(1+2^(-'⚙ Parámetros'!C15*(H98-'⚙ Parámetros'!B15))),'⚙ Parámetros'!G15/(1+2^(-'⚙ Parámetros'!F15*(H98-'⚙ Parámetros'!E15))),1)+20/100*MAX('⚙ Parámetros'!D15/(1+2^(-'⚙ Parámetros'!C15*(I98-'⚙ Parámetros'!B15))),'⚙ Parámetros'!G15/(1+2^(-'⚙ Parámetros'!F15*(I98-'⚙ Parámetros'!E15))),1)),0)</f>
        <v>1</v>
      </c>
      <c r="AC98" s="89">
        <f>IFERROR((35/100*MAX('⚙ Parámetros'!D16/(1+2^(-'⚙ Parámetros'!C16*(J98-'⚙ Parámetros'!B16))),'⚙ Parámetros'!G16/(1+2^(-'⚙ Parámetros'!F16*(J98-'⚙ Parámetros'!E16))),1)*J98+25/100*MAX('⚙ Parámetros'!D16/(1+2^(-'⚙ Parámetros'!C16*(K98-'⚙ Parámetros'!B16))),'⚙ Parámetros'!G16/(1+2^(-'⚙ Parámetros'!F16*(K98-'⚙ Parámetros'!E16))),1)*K98+20/100*MAX('⚙ Parámetros'!D16/(1+2^(-'⚙ Parámetros'!C16*(L98-'⚙ Parámetros'!B16))),'⚙ Parámetros'!G16/(1+2^(-'⚙ Parámetros'!F16*(L98-'⚙ Parámetros'!E16))),1)*L98+20/100*MAX('⚙ Parámetros'!D16/(1+2^(-'⚙ Parámetros'!C16*(M98-'⚙ Parámetros'!B16))),'⚙ Parámetros'!G16/(1+2^(-'⚙ Parámetros'!F16*(M98-'⚙ Parámetros'!E16))),1)*M98)/(35/100*MAX('⚙ Parámetros'!D16/(1+2^(-'⚙ Parámetros'!C16*(J98-'⚙ Parámetros'!B16))),'⚙ Parámetros'!G16/(1+2^(-'⚙ Parámetros'!F16*(J98-'⚙ Parámetros'!E16))),1)+25/100*MAX('⚙ Parámetros'!D16/(1+2^(-'⚙ Parámetros'!C16*(K98-'⚙ Parámetros'!B16))),'⚙ Parámetros'!G16/(1+2^(-'⚙ Parámetros'!F16*(K98-'⚙ Parámetros'!E16))),1)+20/100*MAX('⚙ Parámetros'!D16/(1+2^(-'⚙ Parámetros'!C16*(L98-'⚙ Parámetros'!B16))),'⚙ Parámetros'!G16/(1+2^(-'⚙ Parámetros'!F16*(L98-'⚙ Parámetros'!E16))),1)+20/100*MAX('⚙ Parámetros'!D16/(1+2^(-'⚙ Parámetros'!C16*(M98-'⚙ Parámetros'!B16))),'⚙ Parámetros'!G16/(1+2^(-'⚙ Parámetros'!F16*(M98-'⚙ Parámetros'!E16))),1)),0)</f>
        <v>1.4000000000000001</v>
      </c>
      <c r="AD98" s="89">
        <f>IFERROR((30/100*MAX('⚙ Parámetros'!D17/(1+2^(-'⚙ Parámetros'!C17*(N98-'⚙ Parámetros'!B17))),'⚙ Parámetros'!G17/(1+2^(-'⚙ Parámetros'!F17*(N98-'⚙ Parámetros'!E17))),1)*N98+25/100*MAX('⚙ Parámetros'!D17/(1+2^(-'⚙ Parámetros'!C17*(O98-'⚙ Parámetros'!B17))),'⚙ Parámetros'!G17/(1+2^(-'⚙ Parámetros'!F17*(O98-'⚙ Parámetros'!E17))),1)*O98+25/100*MAX('⚙ Parámetros'!D17/(1+2^(-'⚙ Parámetros'!C17*(P98-'⚙ Parámetros'!B17))),'⚙ Parámetros'!G17/(1+2^(-'⚙ Parámetros'!F17*(P98-'⚙ Parámetros'!E17))),1)*P98+20/100*MAX('⚙ Parámetros'!D17/(1+2^(-'⚙ Parámetros'!C17*(Q98-'⚙ Parámetros'!B17))),'⚙ Parámetros'!G17/(1+2^(-'⚙ Parámetros'!F17*(Q98-'⚙ Parámetros'!E17))),1)*Q98)/(30/100*MAX('⚙ Parámetros'!D17/(1+2^(-'⚙ Parámetros'!C17*(N98-'⚙ Parámetros'!B17))),'⚙ Parámetros'!G17/(1+2^(-'⚙ Parámetros'!F17*(N98-'⚙ Parámetros'!E17))),1)+25/100*MAX('⚙ Parámetros'!D17/(1+2^(-'⚙ Parámetros'!C17*(O98-'⚙ Parámetros'!B17))),'⚙ Parámetros'!G17/(1+2^(-'⚙ Parámetros'!F17*(O98-'⚙ Parámetros'!E17))),1)+25/100*MAX('⚙ Parámetros'!D17/(1+2^(-'⚙ Parámetros'!C17*(P98-'⚙ Parámetros'!B17))),'⚙ Parámetros'!G17/(1+2^(-'⚙ Parámetros'!F17*(P98-'⚙ Parámetros'!E17))),1)+20/100*MAX('⚙ Parámetros'!D17/(1+2^(-'⚙ Parámetros'!C17*(Q98-'⚙ Parámetros'!B17))),'⚙ Parámetros'!G17/(1+2^(-'⚙ Parámetros'!F17*(Q98-'⚙ Parámetros'!E17))),1)),0)</f>
        <v>5.0449438202247201</v>
      </c>
      <c r="AE98" s="89">
        <f>IFERROR((30/100*MAX('⚙ Parámetros'!D18/(1+2^(-'⚙ Parámetros'!C18*(R98-'⚙ Parámetros'!B18))),'⚙ Parámetros'!G18/(1+2^(-'⚙ Parámetros'!F18*(R98-'⚙ Parámetros'!E18))),1)*R98+30/100*MAX('⚙ Parámetros'!D18/(1+2^(-'⚙ Parámetros'!C18*(S98-'⚙ Parámetros'!B18))),'⚙ Parámetros'!G18/(1+2^(-'⚙ Parámetros'!F18*(S98-'⚙ Parámetros'!E18))),1)*S98+20/100*MAX('⚙ Parámetros'!D18/(1+2^(-'⚙ Parámetros'!C18*(T98-'⚙ Parámetros'!B18))),'⚙ Parámetros'!G18/(1+2^(-'⚙ Parámetros'!F18*(T98-'⚙ Parámetros'!E18))),1)*T98+20/100*MAX('⚙ Parámetros'!D18/(1+2^(-'⚙ Parámetros'!C18*(U98-'⚙ Parámetros'!B18))),'⚙ Parámetros'!G18/(1+2^(-'⚙ Parámetros'!F18*(U98-'⚙ Parámetros'!E18))),1)*U98)/(30/100*MAX('⚙ Parámetros'!D18/(1+2^(-'⚙ Parámetros'!C18*(R98-'⚙ Parámetros'!B18))),'⚙ Parámetros'!G18/(1+2^(-'⚙ Parámetros'!F18*(R98-'⚙ Parámetros'!E18))),1)+30/100*MAX('⚙ Parámetros'!D18/(1+2^(-'⚙ Parámetros'!C18*(S98-'⚙ Parámetros'!B18))),'⚙ Parámetros'!G18/(1+2^(-'⚙ Parámetros'!F18*(S98-'⚙ Parámetros'!E18))),1)+20/100*MAX('⚙ Parámetros'!D18/(1+2^(-'⚙ Parámetros'!C18*(T98-'⚙ Parámetros'!B18))),'⚙ Parámetros'!G18/(1+2^(-'⚙ Parámetros'!F18*(T98-'⚙ Parámetros'!E18))),1)+20/100*MAX('⚙ Parámetros'!D18/(1+2^(-'⚙ Parámetros'!C18*(U98-'⚙ Parámetros'!B18))),'⚙ Parámetros'!G18/(1+2^(-'⚙ Parámetros'!F18*(U98-'⚙ Parámetros'!E18))),1)),0)</f>
        <v>5</v>
      </c>
      <c r="AF98" s="89">
        <f>IFERROR((30/100*MAX('⚙ Parámetros'!D19/(1+2^(-'⚙ Parámetros'!C19*(V98-'⚙ Parámetros'!B19))),'⚙ Parámetros'!G19/(1+2^(-'⚙ Parámetros'!F19*(V98-'⚙ Parámetros'!E19))),1)*V98+35/100*MAX('⚙ Parámetros'!D19/(1+2^(-'⚙ Parámetros'!C19*(W98-'⚙ Parámetros'!B19))),'⚙ Parámetros'!G19/(1+2^(-'⚙ Parámetros'!F19*(W98-'⚙ Parámetros'!E19))),1)*W98+35/100*MAX('⚙ Parámetros'!D19/(1+2^(-'⚙ Parámetros'!C19*(X98-'⚙ Parámetros'!B19))),'⚙ Parámetros'!G19/(1+2^(-'⚙ Parámetros'!F19*(X98-'⚙ Parámetros'!E19))),1)*X98)/(30/100*MAX('⚙ Parámetros'!D19/(1+2^(-'⚙ Parámetros'!C19*(V98-'⚙ Parámetros'!B19))),'⚙ Parámetros'!G19/(1+2^(-'⚙ Parámetros'!F19*(V98-'⚙ Parámetros'!E19))),1)+35/100*MAX('⚙ Parámetros'!D19/(1+2^(-'⚙ Parámetros'!C19*(W98-'⚙ Parámetros'!B19))),'⚙ Parámetros'!G19/(1+2^(-'⚙ Parámetros'!F19*(W98-'⚙ Parámetros'!E19))),1)+35/100*MAX('⚙ Parámetros'!D19/(1+2^(-'⚙ Parámetros'!C19*(X98-'⚙ Parámetros'!B19))),'⚙ Parámetros'!G19/(1+2^(-'⚙ Parámetros'!F19*(X98-'⚙ Parámetros'!E19))),1)),0)</f>
        <v>5.7368421052631575</v>
      </c>
      <c r="AG98" s="89">
        <f>IFERROR((35/100*MAX('⚙ Parámetros'!D20/(1+2^(-'⚙ Parámetros'!C20*(Y98-'⚙ Parámetros'!B20))),'⚙ Parámetros'!G20/(1+2^(-'⚙ Parámetros'!F20*(Y98-'⚙ Parámetros'!E20))),1)*Y98+35/100*MAX('⚙ Parámetros'!D20/(1+2^(-'⚙ Parámetros'!C20*(Z98-'⚙ Parámetros'!B20))),'⚙ Parámetros'!G20/(1+2^(-'⚙ Parámetros'!F20*(Z98-'⚙ Parámetros'!E20))),1)*Z98+30/100*MAX('⚙ Parámetros'!D20/(1+2^(-'⚙ Parámetros'!C20*(AA98-'⚙ Parámetros'!B20))),'⚙ Parámetros'!G20/(1+2^(-'⚙ Parámetros'!F20*(AA98-'⚙ Parámetros'!E20))),1)*AA98)/(35/100*MAX('⚙ Parámetros'!D20/(1+2^(-'⚙ Parámetros'!C20*(Y98-'⚙ Parámetros'!B20))),'⚙ Parámetros'!G20/(1+2^(-'⚙ Parámetros'!F20*(Y98-'⚙ Parámetros'!E20))),1)+35/100*MAX('⚙ Parámetros'!D20/(1+2^(-'⚙ Parámetros'!C20*(Z98-'⚙ Parámetros'!B20))),'⚙ Parámetros'!G20/(1+2^(-'⚙ Parámetros'!F20*(Z98-'⚙ Parámetros'!E20))),1)+30/100*MAX('⚙ Parámetros'!D20/(1+2^(-'⚙ Parámetros'!C20*(AA98-'⚙ Parámetros'!B20))),'⚙ Parámetros'!G20/(1+2^(-'⚙ Parámetros'!F20*(AA98-'⚙ Parámetros'!E20))),1)),0)</f>
        <v>3.7272727272727275</v>
      </c>
      <c r="AH98" s="90">
        <f>('⚙ Parámetros'!B5/100*AB98+'⚙ Parámetros'!B6/100*AC98+'⚙ Parámetros'!B7/100*AD98+'⚙ Parámetros'!B8/100*AE98+'⚙ Parámetros'!B9/100*AF98+'⚙ Parámetros'!B10/100*AG98)</f>
        <v>3.0608547927530778</v>
      </c>
      <c r="AI98" s="91">
        <f ca="1">MIN(1+MAX(0,TODAY()-DATE(2024,9,13))/365*'⚙ Parámetros'!B33,'⚙ Parámetros'!B34)</f>
        <v>1.25</v>
      </c>
      <c r="AJ98" s="82">
        <f t="shared" ca="1" si="4"/>
        <v>3.8260684909413474</v>
      </c>
      <c r="AK98" s="92" t="str">
        <f ca="1">IF(AB98&gt;='⚙ Parámetros'!B23,"⚑ AUTO-PRIOR.(D1≥8)",IF(AJ98&gt;='⚙ Parámetros'!B23,"PRIORITARIO",IF(AJ98&gt;='⚙ Parámetros'!B24,"ALTA PRIORIDAD",IF(AJ98&gt;='⚙ Parámetros'!B25,"PRIORIDAD MEDIA",IF(AJ98&gt;='⚙ Parámetros'!B26,"BAJA PRIORIDAD","DESCARTAR")))))</f>
        <v>DESCARTAR</v>
      </c>
      <c r="AL98" s="69" t="str">
        <f t="shared" si="5"/>
        <v>—</v>
      </c>
      <c r="AM98" s="85">
        <v>10</v>
      </c>
      <c r="AN98" s="83" t="str">
        <f>IF(AM98="","—",IF(AM98&lt;'⚙ Parámetros'!B29,"🟢 Corto",IF(AM98&lt;'⚙ Parámetros'!B30,"🟡 Medio","🔴 Largo")))</f>
        <v>🟢 Corto</v>
      </c>
    </row>
    <row r="99" spans="1:40" ht="18.75" customHeight="1" x14ac:dyDescent="0.25">
      <c r="A99" s="69">
        <v>95</v>
      </c>
      <c r="B99" s="70" t="s">
        <v>320</v>
      </c>
      <c r="C99" s="4" t="s">
        <v>135</v>
      </c>
      <c r="D99" s="71" t="s">
        <v>139</v>
      </c>
      <c r="E99" s="72" t="s">
        <v>321</v>
      </c>
      <c r="F99" s="74">
        <v>1</v>
      </c>
      <c r="G99" s="74">
        <v>1</v>
      </c>
      <c r="H99" s="74">
        <v>1</v>
      </c>
      <c r="I99" s="74">
        <v>1</v>
      </c>
      <c r="J99" s="74">
        <v>1</v>
      </c>
      <c r="K99" s="74">
        <v>1</v>
      </c>
      <c r="L99" s="74">
        <v>1</v>
      </c>
      <c r="M99" s="73">
        <v>3</v>
      </c>
      <c r="N99" s="74">
        <v>1</v>
      </c>
      <c r="O99" s="87">
        <v>8</v>
      </c>
      <c r="P99" s="74">
        <v>1</v>
      </c>
      <c r="Q99" s="74">
        <v>1</v>
      </c>
      <c r="R99" s="73">
        <v>5</v>
      </c>
      <c r="S99" s="73">
        <v>5</v>
      </c>
      <c r="T99" s="73">
        <v>5</v>
      </c>
      <c r="U99" s="73">
        <v>5</v>
      </c>
      <c r="V99" s="73">
        <v>5</v>
      </c>
      <c r="W99" s="73">
        <v>6</v>
      </c>
      <c r="X99" s="73">
        <v>6</v>
      </c>
      <c r="Y99" s="73">
        <v>4</v>
      </c>
      <c r="Z99" s="74">
        <v>2</v>
      </c>
      <c r="AA99" s="73">
        <v>5</v>
      </c>
      <c r="AB99" s="80">
        <f>IFERROR((30/100*MAX('⚙ Parámetros'!D15/(1+2^(-'⚙ Parámetros'!C15*(F99-'⚙ Parámetros'!B15))),'⚙ Parámetros'!G15/(1+2^(-'⚙ Parámetros'!F15*(F99-'⚙ Parámetros'!E15))),1)*F99+30/100*MAX('⚙ Parámetros'!D15/(1+2^(-'⚙ Parámetros'!C15*(G99-'⚙ Parámetros'!B15))),'⚙ Parámetros'!G15/(1+2^(-'⚙ Parámetros'!F15*(G99-'⚙ Parámetros'!E15))),1)*G99+20/100*MAX('⚙ Parámetros'!D15/(1+2^(-'⚙ Parámetros'!C15*(H99-'⚙ Parámetros'!B15))),'⚙ Parámetros'!G15/(1+2^(-'⚙ Parámetros'!F15*(H99-'⚙ Parámetros'!E15))),1)*H99+20/100*MAX('⚙ Parámetros'!D15/(1+2^(-'⚙ Parámetros'!C15*(I99-'⚙ Parámetros'!B15))),'⚙ Parámetros'!G15/(1+2^(-'⚙ Parámetros'!F15*(I99-'⚙ Parámetros'!E15))),1)*I99)/(30/100*MAX('⚙ Parámetros'!D15/(1+2^(-'⚙ Parámetros'!C15*(F99-'⚙ Parámetros'!B15))),'⚙ Parámetros'!G15/(1+2^(-'⚙ Parámetros'!F15*(F99-'⚙ Parámetros'!E15))),1)+30/100*MAX('⚙ Parámetros'!D15/(1+2^(-'⚙ Parámetros'!C15*(G99-'⚙ Parámetros'!B15))),'⚙ Parámetros'!G15/(1+2^(-'⚙ Parámetros'!F15*(G99-'⚙ Parámetros'!E15))),1)+20/100*MAX('⚙ Parámetros'!D15/(1+2^(-'⚙ Parámetros'!C15*(H99-'⚙ Parámetros'!B15))),'⚙ Parámetros'!G15/(1+2^(-'⚙ Parámetros'!F15*(H99-'⚙ Parámetros'!E15))),1)+20/100*MAX('⚙ Parámetros'!D15/(1+2^(-'⚙ Parámetros'!C15*(I99-'⚙ Parámetros'!B15))),'⚙ Parámetros'!G15/(1+2^(-'⚙ Parámetros'!F15*(I99-'⚙ Parámetros'!E15))),1)),0)</f>
        <v>1</v>
      </c>
      <c r="AC99" s="80">
        <f>IFERROR((35/100*MAX('⚙ Parámetros'!D16/(1+2^(-'⚙ Parámetros'!C16*(J99-'⚙ Parámetros'!B16))),'⚙ Parámetros'!G16/(1+2^(-'⚙ Parámetros'!F16*(J99-'⚙ Parámetros'!E16))),1)*J99+25/100*MAX('⚙ Parámetros'!D16/(1+2^(-'⚙ Parámetros'!C16*(K99-'⚙ Parámetros'!B16))),'⚙ Parámetros'!G16/(1+2^(-'⚙ Parámetros'!F16*(K99-'⚙ Parámetros'!E16))),1)*K99+20/100*MAX('⚙ Parámetros'!D16/(1+2^(-'⚙ Parámetros'!C16*(L99-'⚙ Parámetros'!B16))),'⚙ Parámetros'!G16/(1+2^(-'⚙ Parámetros'!F16*(L99-'⚙ Parámetros'!E16))),1)*L99+20/100*MAX('⚙ Parámetros'!D16/(1+2^(-'⚙ Parámetros'!C16*(M99-'⚙ Parámetros'!B16))),'⚙ Parámetros'!G16/(1+2^(-'⚙ Parámetros'!F16*(M99-'⚙ Parámetros'!E16))),1)*M99)/(35/100*MAX('⚙ Parámetros'!D16/(1+2^(-'⚙ Parámetros'!C16*(J99-'⚙ Parámetros'!B16))),'⚙ Parámetros'!G16/(1+2^(-'⚙ Parámetros'!F16*(J99-'⚙ Parámetros'!E16))),1)+25/100*MAX('⚙ Parámetros'!D16/(1+2^(-'⚙ Parámetros'!C16*(K99-'⚙ Parámetros'!B16))),'⚙ Parámetros'!G16/(1+2^(-'⚙ Parámetros'!F16*(K99-'⚙ Parámetros'!E16))),1)+20/100*MAX('⚙ Parámetros'!D16/(1+2^(-'⚙ Parámetros'!C16*(L99-'⚙ Parámetros'!B16))),'⚙ Parámetros'!G16/(1+2^(-'⚙ Parámetros'!F16*(L99-'⚙ Parámetros'!E16))),1)+20/100*MAX('⚙ Parámetros'!D16/(1+2^(-'⚙ Parámetros'!C16*(M99-'⚙ Parámetros'!B16))),'⚙ Parámetros'!G16/(1+2^(-'⚙ Parámetros'!F16*(M99-'⚙ Parámetros'!E16))),1)),0)</f>
        <v>1.4000000000000001</v>
      </c>
      <c r="AD99" s="80">
        <f>IFERROR((30/100*MAX('⚙ Parámetros'!D17/(1+2^(-'⚙ Parámetros'!C17*(N99-'⚙ Parámetros'!B17))),'⚙ Parámetros'!G17/(1+2^(-'⚙ Parámetros'!F17*(N99-'⚙ Parámetros'!E17))),1)*N99+25/100*MAX('⚙ Parámetros'!D17/(1+2^(-'⚙ Parámetros'!C17*(O99-'⚙ Parámetros'!B17))),'⚙ Parámetros'!G17/(1+2^(-'⚙ Parámetros'!F17*(O99-'⚙ Parámetros'!E17))),1)*O99+25/100*MAX('⚙ Parámetros'!D17/(1+2^(-'⚙ Parámetros'!C17*(P99-'⚙ Parámetros'!B17))),'⚙ Parámetros'!G17/(1+2^(-'⚙ Parámetros'!F17*(P99-'⚙ Parámetros'!E17))),1)*P99+20/100*MAX('⚙ Parámetros'!D17/(1+2^(-'⚙ Parámetros'!C17*(Q99-'⚙ Parámetros'!B17))),'⚙ Parámetros'!G17/(1+2^(-'⚙ Parámetros'!F17*(Q99-'⚙ Parámetros'!E17))),1)*Q99)/(30/100*MAX('⚙ Parámetros'!D17/(1+2^(-'⚙ Parámetros'!C17*(N99-'⚙ Parámetros'!B17))),'⚙ Parámetros'!G17/(1+2^(-'⚙ Parámetros'!F17*(N99-'⚙ Parámetros'!E17))),1)+25/100*MAX('⚙ Parámetros'!D17/(1+2^(-'⚙ Parámetros'!C17*(O99-'⚙ Parámetros'!B17))),'⚙ Parámetros'!G17/(1+2^(-'⚙ Parámetros'!F17*(O99-'⚙ Parámetros'!E17))),1)+25/100*MAX('⚙ Parámetros'!D17/(1+2^(-'⚙ Parámetros'!C17*(P99-'⚙ Parámetros'!B17))),'⚙ Parámetros'!G17/(1+2^(-'⚙ Parámetros'!F17*(P99-'⚙ Parámetros'!E17))),1)+20/100*MAX('⚙ Parámetros'!D17/(1+2^(-'⚙ Parámetros'!C17*(Q99-'⚙ Parámetros'!B17))),'⚙ Parámetros'!G17/(1+2^(-'⚙ Parámetros'!F17*(Q99-'⚙ Parámetros'!E17))),1)),0)</f>
        <v>5</v>
      </c>
      <c r="AE99" s="80">
        <f>IFERROR((30/100*MAX('⚙ Parámetros'!D18/(1+2^(-'⚙ Parámetros'!C18*(R99-'⚙ Parámetros'!B18))),'⚙ Parámetros'!G18/(1+2^(-'⚙ Parámetros'!F18*(R99-'⚙ Parámetros'!E18))),1)*R99+30/100*MAX('⚙ Parámetros'!D18/(1+2^(-'⚙ Parámetros'!C18*(S99-'⚙ Parámetros'!B18))),'⚙ Parámetros'!G18/(1+2^(-'⚙ Parámetros'!F18*(S99-'⚙ Parámetros'!E18))),1)*S99+20/100*MAX('⚙ Parámetros'!D18/(1+2^(-'⚙ Parámetros'!C18*(T99-'⚙ Parámetros'!B18))),'⚙ Parámetros'!G18/(1+2^(-'⚙ Parámetros'!F18*(T99-'⚙ Parámetros'!E18))),1)*T99+20/100*MAX('⚙ Parámetros'!D18/(1+2^(-'⚙ Parámetros'!C18*(U99-'⚙ Parámetros'!B18))),'⚙ Parámetros'!G18/(1+2^(-'⚙ Parámetros'!F18*(U99-'⚙ Parámetros'!E18))),1)*U99)/(30/100*MAX('⚙ Parámetros'!D18/(1+2^(-'⚙ Parámetros'!C18*(R99-'⚙ Parámetros'!B18))),'⚙ Parámetros'!G18/(1+2^(-'⚙ Parámetros'!F18*(R99-'⚙ Parámetros'!E18))),1)+30/100*MAX('⚙ Parámetros'!D18/(1+2^(-'⚙ Parámetros'!C18*(S99-'⚙ Parámetros'!B18))),'⚙ Parámetros'!G18/(1+2^(-'⚙ Parámetros'!F18*(S99-'⚙ Parámetros'!E18))),1)+20/100*MAX('⚙ Parámetros'!D18/(1+2^(-'⚙ Parámetros'!C18*(T99-'⚙ Parámetros'!B18))),'⚙ Parámetros'!G18/(1+2^(-'⚙ Parámetros'!F18*(T99-'⚙ Parámetros'!E18))),1)+20/100*MAX('⚙ Parámetros'!D18/(1+2^(-'⚙ Parámetros'!C18*(U99-'⚙ Parámetros'!B18))),'⚙ Parámetros'!G18/(1+2^(-'⚙ Parámetros'!F18*(U99-'⚙ Parámetros'!E18))),1)),0)</f>
        <v>5</v>
      </c>
      <c r="AF99" s="80">
        <f>IFERROR((30/100*MAX('⚙ Parámetros'!D19/(1+2^(-'⚙ Parámetros'!C19*(V99-'⚙ Parámetros'!B19))),'⚙ Parámetros'!G19/(1+2^(-'⚙ Parámetros'!F19*(V99-'⚙ Parámetros'!E19))),1)*V99+35/100*MAX('⚙ Parámetros'!D19/(1+2^(-'⚙ Parámetros'!C19*(W99-'⚙ Parámetros'!B19))),'⚙ Parámetros'!G19/(1+2^(-'⚙ Parámetros'!F19*(W99-'⚙ Parámetros'!E19))),1)*W99+35/100*MAX('⚙ Parámetros'!D19/(1+2^(-'⚙ Parámetros'!C19*(X99-'⚙ Parámetros'!B19))),'⚙ Parámetros'!G19/(1+2^(-'⚙ Parámetros'!F19*(X99-'⚙ Parámetros'!E19))),1)*X99)/(30/100*MAX('⚙ Parámetros'!D19/(1+2^(-'⚙ Parámetros'!C19*(V99-'⚙ Parámetros'!B19))),'⚙ Parámetros'!G19/(1+2^(-'⚙ Parámetros'!F19*(V99-'⚙ Parámetros'!E19))),1)+35/100*MAX('⚙ Parámetros'!D19/(1+2^(-'⚙ Parámetros'!C19*(W99-'⚙ Parámetros'!B19))),'⚙ Parámetros'!G19/(1+2^(-'⚙ Parámetros'!F19*(W99-'⚙ Parámetros'!E19))),1)+35/100*MAX('⚙ Parámetros'!D19/(1+2^(-'⚙ Parámetros'!C19*(X99-'⚙ Parámetros'!B19))),'⚙ Parámetros'!G19/(1+2^(-'⚙ Parámetros'!F19*(X99-'⚙ Parámetros'!E19))),1)),0)</f>
        <v>5.7368421052631575</v>
      </c>
      <c r="AG99" s="80">
        <f>IFERROR((35/100*MAX('⚙ Parámetros'!D20/(1+2^(-'⚙ Parámetros'!C20*(Y99-'⚙ Parámetros'!B20))),'⚙ Parámetros'!G20/(1+2^(-'⚙ Parámetros'!F20*(Y99-'⚙ Parámetros'!E20))),1)*Y99+35/100*MAX('⚙ Parámetros'!D20/(1+2^(-'⚙ Parámetros'!C20*(Z99-'⚙ Parámetros'!B20))),'⚙ Parámetros'!G20/(1+2^(-'⚙ Parámetros'!F20*(Z99-'⚙ Parámetros'!E20))),1)*Z99+30/100*MAX('⚙ Parámetros'!D20/(1+2^(-'⚙ Parámetros'!C20*(AA99-'⚙ Parámetros'!B20))),'⚙ Parámetros'!G20/(1+2^(-'⚙ Parámetros'!F20*(AA99-'⚙ Parámetros'!E20))),1)*AA99)/(35/100*MAX('⚙ Parámetros'!D20/(1+2^(-'⚙ Parámetros'!C20*(Y99-'⚙ Parámetros'!B20))),'⚙ Parámetros'!G20/(1+2^(-'⚙ Parámetros'!F20*(Y99-'⚙ Parámetros'!E20))),1)+35/100*MAX('⚙ Parámetros'!D20/(1+2^(-'⚙ Parámetros'!C20*(Z99-'⚙ Parámetros'!B20))),'⚙ Parámetros'!G20/(1+2^(-'⚙ Parámetros'!F20*(Z99-'⚙ Parámetros'!E20))),1)+30/100*MAX('⚙ Parámetros'!D20/(1+2^(-'⚙ Parámetros'!C20*(AA99-'⚙ Parámetros'!B20))),'⚙ Parámetros'!G20/(1+2^(-'⚙ Parámetros'!F20*(AA99-'⚙ Parámetros'!E20))),1)),0)</f>
        <v>3.7272727272727275</v>
      </c>
      <c r="AH99" s="81">
        <f>('⚙ Parámetros'!B5/100*AB99+'⚙ Parámetros'!B6/100*AC99+'⚙ Parámetros'!B7/100*AD99+'⚙ Parámetros'!B8/100*AE99+'⚙ Parámetros'!B9/100*AF99+'⚙ Parámetros'!B10/100*AG99)</f>
        <v>3.0518660287081345</v>
      </c>
      <c r="AI99" s="33">
        <f ca="1">MIN(1+MAX(0,TODAY()-DATE(2026,2,9))/365*'⚙ Parámetros'!B33,'⚙ Parámetros'!B34)</f>
        <v>1.0505479452054796</v>
      </c>
      <c r="AJ99" s="82">
        <f t="shared" ca="1" si="4"/>
        <v>3.2061315855017378</v>
      </c>
      <c r="AK99" s="83" t="str">
        <f ca="1">IF(AB99&gt;='⚙ Parámetros'!B23,"⚑ AUTO-PRIOR.(D1≥8)",IF(AJ99&gt;='⚙ Parámetros'!B23,"PRIORITARIO",IF(AJ99&gt;='⚙ Parámetros'!B24,"ALTA PRIORIDAD",IF(AJ99&gt;='⚙ Parámetros'!B25,"PRIORIDAD MEDIA",IF(AJ99&gt;='⚙ Parámetros'!B26,"BAJA PRIORIDAD","DESCARTAR")))))</f>
        <v>DESCARTAR</v>
      </c>
      <c r="AL99" s="84" t="str">
        <f t="shared" si="5"/>
        <v>—</v>
      </c>
      <c r="AM99" s="85">
        <v>12</v>
      </c>
      <c r="AN99" s="83" t="str">
        <f>IF(AM99="","—",IF(AM99&lt;'⚙ Parámetros'!B29,"🟢 Corto",IF(AM99&lt;'⚙ Parámetros'!B30,"🟡 Medio","🔴 Largo")))</f>
        <v>🟢 Corto</v>
      </c>
    </row>
    <row r="100" spans="1:40" ht="18.75" customHeight="1" x14ac:dyDescent="0.25">
      <c r="A100" s="69">
        <v>96</v>
      </c>
      <c r="B100" s="30" t="s">
        <v>322</v>
      </c>
      <c r="C100" s="26" t="s">
        <v>135</v>
      </c>
      <c r="D100" s="71" t="s">
        <v>136</v>
      </c>
      <c r="E100" s="72" t="s">
        <v>323</v>
      </c>
      <c r="F100" s="74">
        <v>1</v>
      </c>
      <c r="G100" s="74">
        <v>1</v>
      </c>
      <c r="H100" s="74">
        <v>1</v>
      </c>
      <c r="I100" s="74">
        <v>1</v>
      </c>
      <c r="J100" s="74">
        <v>1</v>
      </c>
      <c r="K100" s="74">
        <v>1</v>
      </c>
      <c r="L100" s="74">
        <v>1</v>
      </c>
      <c r="M100" s="86">
        <v>3</v>
      </c>
      <c r="N100" s="74">
        <v>1</v>
      </c>
      <c r="O100" s="87">
        <v>8</v>
      </c>
      <c r="P100" s="74">
        <v>1</v>
      </c>
      <c r="Q100" s="74">
        <v>1</v>
      </c>
      <c r="R100" s="86">
        <v>5</v>
      </c>
      <c r="S100" s="86">
        <v>5</v>
      </c>
      <c r="T100" s="86">
        <v>5</v>
      </c>
      <c r="U100" s="86">
        <v>5</v>
      </c>
      <c r="V100" s="86">
        <v>5</v>
      </c>
      <c r="W100" s="86">
        <v>6</v>
      </c>
      <c r="X100" s="86">
        <v>6</v>
      </c>
      <c r="Y100" s="86">
        <v>4</v>
      </c>
      <c r="Z100" s="74">
        <v>2</v>
      </c>
      <c r="AA100" s="86">
        <v>5</v>
      </c>
      <c r="AB100" s="89">
        <f>IFERROR((30/100*MAX('⚙ Parámetros'!D15/(1+2^(-'⚙ Parámetros'!C15*(F100-'⚙ Parámetros'!B15))),'⚙ Parámetros'!G15/(1+2^(-'⚙ Parámetros'!F15*(F100-'⚙ Parámetros'!E15))),1)*F100+30/100*MAX('⚙ Parámetros'!D15/(1+2^(-'⚙ Parámetros'!C15*(G100-'⚙ Parámetros'!B15))),'⚙ Parámetros'!G15/(1+2^(-'⚙ Parámetros'!F15*(G100-'⚙ Parámetros'!E15))),1)*G100+20/100*MAX('⚙ Parámetros'!D15/(1+2^(-'⚙ Parámetros'!C15*(H100-'⚙ Parámetros'!B15))),'⚙ Parámetros'!G15/(1+2^(-'⚙ Parámetros'!F15*(H100-'⚙ Parámetros'!E15))),1)*H100+20/100*MAX('⚙ Parámetros'!D15/(1+2^(-'⚙ Parámetros'!C15*(I100-'⚙ Parámetros'!B15))),'⚙ Parámetros'!G15/(1+2^(-'⚙ Parámetros'!F15*(I100-'⚙ Parámetros'!E15))),1)*I100)/(30/100*MAX('⚙ Parámetros'!D15/(1+2^(-'⚙ Parámetros'!C15*(F100-'⚙ Parámetros'!B15))),'⚙ Parámetros'!G15/(1+2^(-'⚙ Parámetros'!F15*(F100-'⚙ Parámetros'!E15))),1)+30/100*MAX('⚙ Parámetros'!D15/(1+2^(-'⚙ Parámetros'!C15*(G100-'⚙ Parámetros'!B15))),'⚙ Parámetros'!G15/(1+2^(-'⚙ Parámetros'!F15*(G100-'⚙ Parámetros'!E15))),1)+20/100*MAX('⚙ Parámetros'!D15/(1+2^(-'⚙ Parámetros'!C15*(H100-'⚙ Parámetros'!B15))),'⚙ Parámetros'!G15/(1+2^(-'⚙ Parámetros'!F15*(H100-'⚙ Parámetros'!E15))),1)+20/100*MAX('⚙ Parámetros'!D15/(1+2^(-'⚙ Parámetros'!C15*(I100-'⚙ Parámetros'!B15))),'⚙ Parámetros'!G15/(1+2^(-'⚙ Parámetros'!F15*(I100-'⚙ Parámetros'!E15))),1)),0)</f>
        <v>1</v>
      </c>
      <c r="AC100" s="89">
        <f>IFERROR((35/100*MAX('⚙ Parámetros'!D16/(1+2^(-'⚙ Parámetros'!C16*(J100-'⚙ Parámetros'!B16))),'⚙ Parámetros'!G16/(1+2^(-'⚙ Parámetros'!F16*(J100-'⚙ Parámetros'!E16))),1)*J100+25/100*MAX('⚙ Parámetros'!D16/(1+2^(-'⚙ Parámetros'!C16*(K100-'⚙ Parámetros'!B16))),'⚙ Parámetros'!G16/(1+2^(-'⚙ Parámetros'!F16*(K100-'⚙ Parámetros'!E16))),1)*K100+20/100*MAX('⚙ Parámetros'!D16/(1+2^(-'⚙ Parámetros'!C16*(L100-'⚙ Parámetros'!B16))),'⚙ Parámetros'!G16/(1+2^(-'⚙ Parámetros'!F16*(L100-'⚙ Parámetros'!E16))),1)*L100+20/100*MAX('⚙ Parámetros'!D16/(1+2^(-'⚙ Parámetros'!C16*(M100-'⚙ Parámetros'!B16))),'⚙ Parámetros'!G16/(1+2^(-'⚙ Parámetros'!F16*(M100-'⚙ Parámetros'!E16))),1)*M100)/(35/100*MAX('⚙ Parámetros'!D16/(1+2^(-'⚙ Parámetros'!C16*(J100-'⚙ Parámetros'!B16))),'⚙ Parámetros'!G16/(1+2^(-'⚙ Parámetros'!F16*(J100-'⚙ Parámetros'!E16))),1)+25/100*MAX('⚙ Parámetros'!D16/(1+2^(-'⚙ Parámetros'!C16*(K100-'⚙ Parámetros'!B16))),'⚙ Parámetros'!G16/(1+2^(-'⚙ Parámetros'!F16*(K100-'⚙ Parámetros'!E16))),1)+20/100*MAX('⚙ Parámetros'!D16/(1+2^(-'⚙ Parámetros'!C16*(L100-'⚙ Parámetros'!B16))),'⚙ Parámetros'!G16/(1+2^(-'⚙ Parámetros'!F16*(L100-'⚙ Parámetros'!E16))),1)+20/100*MAX('⚙ Parámetros'!D16/(1+2^(-'⚙ Parámetros'!C16*(M100-'⚙ Parámetros'!B16))),'⚙ Parámetros'!G16/(1+2^(-'⚙ Parámetros'!F16*(M100-'⚙ Parámetros'!E16))),1)),0)</f>
        <v>1.4000000000000001</v>
      </c>
      <c r="AD100" s="89">
        <f>IFERROR((30/100*MAX('⚙ Parámetros'!D17/(1+2^(-'⚙ Parámetros'!C17*(N100-'⚙ Parámetros'!B17))),'⚙ Parámetros'!G17/(1+2^(-'⚙ Parámetros'!F17*(N100-'⚙ Parámetros'!E17))),1)*N100+25/100*MAX('⚙ Parámetros'!D17/(1+2^(-'⚙ Parámetros'!C17*(O100-'⚙ Parámetros'!B17))),'⚙ Parámetros'!G17/(1+2^(-'⚙ Parámetros'!F17*(O100-'⚙ Parámetros'!E17))),1)*O100+25/100*MAX('⚙ Parámetros'!D17/(1+2^(-'⚙ Parámetros'!C17*(P100-'⚙ Parámetros'!B17))),'⚙ Parámetros'!G17/(1+2^(-'⚙ Parámetros'!F17*(P100-'⚙ Parámetros'!E17))),1)*P100+20/100*MAX('⚙ Parámetros'!D17/(1+2^(-'⚙ Parámetros'!C17*(Q100-'⚙ Parámetros'!B17))),'⚙ Parámetros'!G17/(1+2^(-'⚙ Parámetros'!F17*(Q100-'⚙ Parámetros'!E17))),1)*Q100)/(30/100*MAX('⚙ Parámetros'!D17/(1+2^(-'⚙ Parámetros'!C17*(N100-'⚙ Parámetros'!B17))),'⚙ Parámetros'!G17/(1+2^(-'⚙ Parámetros'!F17*(N100-'⚙ Parámetros'!E17))),1)+25/100*MAX('⚙ Parámetros'!D17/(1+2^(-'⚙ Parámetros'!C17*(O100-'⚙ Parámetros'!B17))),'⚙ Parámetros'!G17/(1+2^(-'⚙ Parámetros'!F17*(O100-'⚙ Parámetros'!E17))),1)+25/100*MAX('⚙ Parámetros'!D17/(1+2^(-'⚙ Parámetros'!C17*(P100-'⚙ Parámetros'!B17))),'⚙ Parámetros'!G17/(1+2^(-'⚙ Parámetros'!F17*(P100-'⚙ Parámetros'!E17))),1)+20/100*MAX('⚙ Parámetros'!D17/(1+2^(-'⚙ Parámetros'!C17*(Q100-'⚙ Parámetros'!B17))),'⚙ Parámetros'!G17/(1+2^(-'⚙ Parámetros'!F17*(Q100-'⚙ Parámetros'!E17))),1)),0)</f>
        <v>5</v>
      </c>
      <c r="AE100" s="89">
        <f>IFERROR((30/100*MAX('⚙ Parámetros'!D18/(1+2^(-'⚙ Parámetros'!C18*(R100-'⚙ Parámetros'!B18))),'⚙ Parámetros'!G18/(1+2^(-'⚙ Parámetros'!F18*(R100-'⚙ Parámetros'!E18))),1)*R100+30/100*MAX('⚙ Parámetros'!D18/(1+2^(-'⚙ Parámetros'!C18*(S100-'⚙ Parámetros'!B18))),'⚙ Parámetros'!G18/(1+2^(-'⚙ Parámetros'!F18*(S100-'⚙ Parámetros'!E18))),1)*S100+20/100*MAX('⚙ Parámetros'!D18/(1+2^(-'⚙ Parámetros'!C18*(T100-'⚙ Parámetros'!B18))),'⚙ Parámetros'!G18/(1+2^(-'⚙ Parámetros'!F18*(T100-'⚙ Parámetros'!E18))),1)*T100+20/100*MAX('⚙ Parámetros'!D18/(1+2^(-'⚙ Parámetros'!C18*(U100-'⚙ Parámetros'!B18))),'⚙ Parámetros'!G18/(1+2^(-'⚙ Parámetros'!F18*(U100-'⚙ Parámetros'!E18))),1)*U100)/(30/100*MAX('⚙ Parámetros'!D18/(1+2^(-'⚙ Parámetros'!C18*(R100-'⚙ Parámetros'!B18))),'⚙ Parámetros'!G18/(1+2^(-'⚙ Parámetros'!F18*(R100-'⚙ Parámetros'!E18))),1)+30/100*MAX('⚙ Parámetros'!D18/(1+2^(-'⚙ Parámetros'!C18*(S100-'⚙ Parámetros'!B18))),'⚙ Parámetros'!G18/(1+2^(-'⚙ Parámetros'!F18*(S100-'⚙ Parámetros'!E18))),1)+20/100*MAX('⚙ Parámetros'!D18/(1+2^(-'⚙ Parámetros'!C18*(T100-'⚙ Parámetros'!B18))),'⚙ Parámetros'!G18/(1+2^(-'⚙ Parámetros'!F18*(T100-'⚙ Parámetros'!E18))),1)+20/100*MAX('⚙ Parámetros'!D18/(1+2^(-'⚙ Parámetros'!C18*(U100-'⚙ Parámetros'!B18))),'⚙ Parámetros'!G18/(1+2^(-'⚙ Parámetros'!F18*(U100-'⚙ Parámetros'!E18))),1)),0)</f>
        <v>5</v>
      </c>
      <c r="AF100" s="89">
        <f>IFERROR((30/100*MAX('⚙ Parámetros'!D19/(1+2^(-'⚙ Parámetros'!C19*(V100-'⚙ Parámetros'!B19))),'⚙ Parámetros'!G19/(1+2^(-'⚙ Parámetros'!F19*(V100-'⚙ Parámetros'!E19))),1)*V100+35/100*MAX('⚙ Parámetros'!D19/(1+2^(-'⚙ Parámetros'!C19*(W100-'⚙ Parámetros'!B19))),'⚙ Parámetros'!G19/(1+2^(-'⚙ Parámetros'!F19*(W100-'⚙ Parámetros'!E19))),1)*W100+35/100*MAX('⚙ Parámetros'!D19/(1+2^(-'⚙ Parámetros'!C19*(X100-'⚙ Parámetros'!B19))),'⚙ Parámetros'!G19/(1+2^(-'⚙ Parámetros'!F19*(X100-'⚙ Parámetros'!E19))),1)*X100)/(30/100*MAX('⚙ Parámetros'!D19/(1+2^(-'⚙ Parámetros'!C19*(V100-'⚙ Parámetros'!B19))),'⚙ Parámetros'!G19/(1+2^(-'⚙ Parámetros'!F19*(V100-'⚙ Parámetros'!E19))),1)+35/100*MAX('⚙ Parámetros'!D19/(1+2^(-'⚙ Parámetros'!C19*(W100-'⚙ Parámetros'!B19))),'⚙ Parámetros'!G19/(1+2^(-'⚙ Parámetros'!F19*(W100-'⚙ Parámetros'!E19))),1)+35/100*MAX('⚙ Parámetros'!D19/(1+2^(-'⚙ Parámetros'!C19*(X100-'⚙ Parámetros'!B19))),'⚙ Parámetros'!G19/(1+2^(-'⚙ Parámetros'!F19*(X100-'⚙ Parámetros'!E19))),1)),0)</f>
        <v>5.7368421052631575</v>
      </c>
      <c r="AG100" s="89">
        <f>IFERROR((35/100*MAX('⚙ Parámetros'!D20/(1+2^(-'⚙ Parámetros'!C20*(Y100-'⚙ Parámetros'!B20))),'⚙ Parámetros'!G20/(1+2^(-'⚙ Parámetros'!F20*(Y100-'⚙ Parámetros'!E20))),1)*Y100+35/100*MAX('⚙ Parámetros'!D20/(1+2^(-'⚙ Parámetros'!C20*(Z100-'⚙ Parámetros'!B20))),'⚙ Parámetros'!G20/(1+2^(-'⚙ Parámetros'!F20*(Z100-'⚙ Parámetros'!E20))),1)*Z100+30/100*MAX('⚙ Parámetros'!D20/(1+2^(-'⚙ Parámetros'!C20*(AA100-'⚙ Parámetros'!B20))),'⚙ Parámetros'!G20/(1+2^(-'⚙ Parámetros'!F20*(AA100-'⚙ Parámetros'!E20))),1)*AA100)/(35/100*MAX('⚙ Parámetros'!D20/(1+2^(-'⚙ Parámetros'!C20*(Y100-'⚙ Parámetros'!B20))),'⚙ Parámetros'!G20/(1+2^(-'⚙ Parámetros'!F20*(Y100-'⚙ Parámetros'!E20))),1)+35/100*MAX('⚙ Parámetros'!D20/(1+2^(-'⚙ Parámetros'!C20*(Z100-'⚙ Parámetros'!B20))),'⚙ Parámetros'!G20/(1+2^(-'⚙ Parámetros'!F20*(Z100-'⚙ Parámetros'!E20))),1)+30/100*MAX('⚙ Parámetros'!D20/(1+2^(-'⚙ Parámetros'!C20*(AA100-'⚙ Parámetros'!B20))),'⚙ Parámetros'!G20/(1+2^(-'⚙ Parámetros'!F20*(AA100-'⚙ Parámetros'!E20))),1)),0)</f>
        <v>3.7272727272727275</v>
      </c>
      <c r="AH100" s="90">
        <f>('⚙ Parámetros'!B5/100*AB100+'⚙ Parámetros'!B6/100*AC100+'⚙ Parámetros'!B7/100*AD100+'⚙ Parámetros'!B8/100*AE100+'⚙ Parámetros'!B9/100*AF100+'⚙ Parámetros'!B10/100*AG100)</f>
        <v>3.0518660287081345</v>
      </c>
      <c r="AI100" s="91">
        <f ca="1">MIN(1+MAX(0,TODAY()-DATE(2025,11,18))/365*'⚙ Parámetros'!B33,'⚙ Parámetros'!B34)</f>
        <v>1.0846575342465754</v>
      </c>
      <c r="AJ100" s="82">
        <f t="shared" ca="1" si="4"/>
        <v>3.3102294815494533</v>
      </c>
      <c r="AK100" s="92" t="str">
        <f ca="1">IF(AB100&gt;='⚙ Parámetros'!B23,"⚑ AUTO-PRIOR.(D1≥8)",IF(AJ100&gt;='⚙ Parámetros'!B23,"PRIORITARIO",IF(AJ100&gt;='⚙ Parámetros'!B24,"ALTA PRIORIDAD",IF(AJ100&gt;='⚙ Parámetros'!B25,"PRIORIDAD MEDIA",IF(AJ100&gt;='⚙ Parámetros'!B26,"BAJA PRIORIDAD","DESCARTAR")))))</f>
        <v>DESCARTAR</v>
      </c>
      <c r="AL100" s="69" t="str">
        <f t="shared" si="5"/>
        <v>—</v>
      </c>
      <c r="AM100" s="85">
        <v>48</v>
      </c>
      <c r="AN100" s="83" t="str">
        <f>IF(AM100="","—",IF(AM100&lt;'⚙ Parámetros'!B29,"🟢 Corto",IF(AM100&lt;'⚙ Parámetros'!B30,"🟡 Medio","🔴 Largo")))</f>
        <v>🟡 Medio</v>
      </c>
    </row>
    <row r="101" spans="1:40" ht="18.75" customHeight="1" x14ac:dyDescent="0.25">
      <c r="A101" s="69">
        <v>97</v>
      </c>
      <c r="B101" s="70" t="s">
        <v>324</v>
      </c>
      <c r="C101" s="4" t="s">
        <v>271</v>
      </c>
      <c r="D101" s="71" t="s">
        <v>136</v>
      </c>
      <c r="E101" s="72" t="s">
        <v>289</v>
      </c>
      <c r="F101" s="74">
        <v>1</v>
      </c>
      <c r="G101" s="74">
        <v>1</v>
      </c>
      <c r="H101" s="74">
        <v>1</v>
      </c>
      <c r="I101" s="74">
        <v>1</v>
      </c>
      <c r="J101" s="74">
        <v>1</v>
      </c>
      <c r="K101" s="74">
        <v>1</v>
      </c>
      <c r="L101" s="74">
        <v>1</v>
      </c>
      <c r="M101" s="73">
        <v>3</v>
      </c>
      <c r="N101" s="74">
        <v>1</v>
      </c>
      <c r="O101" s="74">
        <v>1</v>
      </c>
      <c r="P101" s="74">
        <v>1</v>
      </c>
      <c r="Q101" s="74">
        <v>1</v>
      </c>
      <c r="R101" s="76">
        <v>9</v>
      </c>
      <c r="S101" s="76">
        <v>9</v>
      </c>
      <c r="T101" s="73">
        <v>5</v>
      </c>
      <c r="U101" s="73">
        <v>5</v>
      </c>
      <c r="V101" s="77">
        <v>8</v>
      </c>
      <c r="W101" s="73">
        <v>6</v>
      </c>
      <c r="X101" s="77">
        <v>9</v>
      </c>
      <c r="Y101" s="73">
        <v>4</v>
      </c>
      <c r="Z101" s="74">
        <v>2</v>
      </c>
      <c r="AA101" s="78">
        <v>8</v>
      </c>
      <c r="AB101" s="80">
        <f>IFERROR((30/100*MAX('⚙ Parámetros'!D15/(1+2^(-'⚙ Parámetros'!C15*(F101-'⚙ Parámetros'!B15))),'⚙ Parámetros'!G15/(1+2^(-'⚙ Parámetros'!F15*(F101-'⚙ Parámetros'!E15))),1)*F101+30/100*MAX('⚙ Parámetros'!D15/(1+2^(-'⚙ Parámetros'!C15*(G101-'⚙ Parámetros'!B15))),'⚙ Parámetros'!G15/(1+2^(-'⚙ Parámetros'!F15*(G101-'⚙ Parámetros'!E15))),1)*G101+20/100*MAX('⚙ Parámetros'!D15/(1+2^(-'⚙ Parámetros'!C15*(H101-'⚙ Parámetros'!B15))),'⚙ Parámetros'!G15/(1+2^(-'⚙ Parámetros'!F15*(H101-'⚙ Parámetros'!E15))),1)*H101+20/100*MAX('⚙ Parámetros'!D15/(1+2^(-'⚙ Parámetros'!C15*(I101-'⚙ Parámetros'!B15))),'⚙ Parámetros'!G15/(1+2^(-'⚙ Parámetros'!F15*(I101-'⚙ Parámetros'!E15))),1)*I101)/(30/100*MAX('⚙ Parámetros'!D15/(1+2^(-'⚙ Parámetros'!C15*(F101-'⚙ Parámetros'!B15))),'⚙ Parámetros'!G15/(1+2^(-'⚙ Parámetros'!F15*(F101-'⚙ Parámetros'!E15))),1)+30/100*MAX('⚙ Parámetros'!D15/(1+2^(-'⚙ Parámetros'!C15*(G101-'⚙ Parámetros'!B15))),'⚙ Parámetros'!G15/(1+2^(-'⚙ Parámetros'!F15*(G101-'⚙ Parámetros'!E15))),1)+20/100*MAX('⚙ Parámetros'!D15/(1+2^(-'⚙ Parámetros'!C15*(H101-'⚙ Parámetros'!B15))),'⚙ Parámetros'!G15/(1+2^(-'⚙ Parámetros'!F15*(H101-'⚙ Parámetros'!E15))),1)+20/100*MAX('⚙ Parámetros'!D15/(1+2^(-'⚙ Parámetros'!C15*(I101-'⚙ Parámetros'!B15))),'⚙ Parámetros'!G15/(1+2^(-'⚙ Parámetros'!F15*(I101-'⚙ Parámetros'!E15))),1)),0)</f>
        <v>1</v>
      </c>
      <c r="AC101" s="80">
        <f>IFERROR((35/100*MAX('⚙ Parámetros'!D16/(1+2^(-'⚙ Parámetros'!C16*(J101-'⚙ Parámetros'!B16))),'⚙ Parámetros'!G16/(1+2^(-'⚙ Parámetros'!F16*(J101-'⚙ Parámetros'!E16))),1)*J101+25/100*MAX('⚙ Parámetros'!D16/(1+2^(-'⚙ Parámetros'!C16*(K101-'⚙ Parámetros'!B16))),'⚙ Parámetros'!G16/(1+2^(-'⚙ Parámetros'!F16*(K101-'⚙ Parámetros'!E16))),1)*K101+20/100*MAX('⚙ Parámetros'!D16/(1+2^(-'⚙ Parámetros'!C16*(L101-'⚙ Parámetros'!B16))),'⚙ Parámetros'!G16/(1+2^(-'⚙ Parámetros'!F16*(L101-'⚙ Parámetros'!E16))),1)*L101+20/100*MAX('⚙ Parámetros'!D16/(1+2^(-'⚙ Parámetros'!C16*(M101-'⚙ Parámetros'!B16))),'⚙ Parámetros'!G16/(1+2^(-'⚙ Parámetros'!F16*(M101-'⚙ Parámetros'!E16))),1)*M101)/(35/100*MAX('⚙ Parámetros'!D16/(1+2^(-'⚙ Parámetros'!C16*(J101-'⚙ Parámetros'!B16))),'⚙ Parámetros'!G16/(1+2^(-'⚙ Parámetros'!F16*(J101-'⚙ Parámetros'!E16))),1)+25/100*MAX('⚙ Parámetros'!D16/(1+2^(-'⚙ Parámetros'!C16*(K101-'⚙ Parámetros'!B16))),'⚙ Parámetros'!G16/(1+2^(-'⚙ Parámetros'!F16*(K101-'⚙ Parámetros'!E16))),1)+20/100*MAX('⚙ Parámetros'!D16/(1+2^(-'⚙ Parámetros'!C16*(L101-'⚙ Parámetros'!B16))),'⚙ Parámetros'!G16/(1+2^(-'⚙ Parámetros'!F16*(L101-'⚙ Parámetros'!E16))),1)+20/100*MAX('⚙ Parámetros'!D16/(1+2^(-'⚙ Parámetros'!C16*(M101-'⚙ Parámetros'!B16))),'⚙ Parámetros'!G16/(1+2^(-'⚙ Parámetros'!F16*(M101-'⚙ Parámetros'!E16))),1)),0)</f>
        <v>1.4000000000000001</v>
      </c>
      <c r="AD101" s="80">
        <f>IFERROR((30/100*MAX('⚙ Parámetros'!D17/(1+2^(-'⚙ Parámetros'!C17*(N101-'⚙ Parámetros'!B17))),'⚙ Parámetros'!G17/(1+2^(-'⚙ Parámetros'!F17*(N101-'⚙ Parámetros'!E17))),1)*N101+25/100*MAX('⚙ Parámetros'!D17/(1+2^(-'⚙ Parámetros'!C17*(O101-'⚙ Parámetros'!B17))),'⚙ Parámetros'!G17/(1+2^(-'⚙ Parámetros'!F17*(O101-'⚙ Parámetros'!E17))),1)*O101+25/100*MAX('⚙ Parámetros'!D17/(1+2^(-'⚙ Parámetros'!C17*(P101-'⚙ Parámetros'!B17))),'⚙ Parámetros'!G17/(1+2^(-'⚙ Parámetros'!F17*(P101-'⚙ Parámetros'!E17))),1)*P101+20/100*MAX('⚙ Parámetros'!D17/(1+2^(-'⚙ Parámetros'!C17*(Q101-'⚙ Parámetros'!B17))),'⚙ Parámetros'!G17/(1+2^(-'⚙ Parámetros'!F17*(Q101-'⚙ Parámetros'!E17))),1)*Q101)/(30/100*MAX('⚙ Parámetros'!D17/(1+2^(-'⚙ Parámetros'!C17*(N101-'⚙ Parámetros'!B17))),'⚙ Parámetros'!G17/(1+2^(-'⚙ Parámetros'!F17*(N101-'⚙ Parámetros'!E17))),1)+25/100*MAX('⚙ Parámetros'!D17/(1+2^(-'⚙ Parámetros'!C17*(O101-'⚙ Parámetros'!B17))),'⚙ Parámetros'!G17/(1+2^(-'⚙ Parámetros'!F17*(O101-'⚙ Parámetros'!E17))),1)+25/100*MAX('⚙ Parámetros'!D17/(1+2^(-'⚙ Parámetros'!C17*(P101-'⚙ Parámetros'!B17))),'⚙ Parámetros'!G17/(1+2^(-'⚙ Parámetros'!F17*(P101-'⚙ Parámetros'!E17))),1)+20/100*MAX('⚙ Parámetros'!D17/(1+2^(-'⚙ Parámetros'!C17*(Q101-'⚙ Parámetros'!B17))),'⚙ Parámetros'!G17/(1+2^(-'⚙ Parámetros'!F17*(Q101-'⚙ Parámetros'!E17))),1)),0)</f>
        <v>1</v>
      </c>
      <c r="AE101" s="80">
        <f>IFERROR((30/100*MAX('⚙ Parámetros'!D18/(1+2^(-'⚙ Parámetros'!C18*(R101-'⚙ Parámetros'!B18))),'⚙ Parámetros'!G18/(1+2^(-'⚙ Parámetros'!F18*(R101-'⚙ Parámetros'!E18))),1)*R101+30/100*MAX('⚙ Parámetros'!D18/(1+2^(-'⚙ Parámetros'!C18*(S101-'⚙ Parámetros'!B18))),'⚙ Parámetros'!G18/(1+2^(-'⚙ Parámetros'!F18*(S101-'⚙ Parámetros'!E18))),1)*S101+20/100*MAX('⚙ Parámetros'!D18/(1+2^(-'⚙ Parámetros'!C18*(T101-'⚙ Parámetros'!B18))),'⚙ Parámetros'!G18/(1+2^(-'⚙ Parámetros'!F18*(T101-'⚙ Parámetros'!E18))),1)*T101+20/100*MAX('⚙ Parámetros'!D18/(1+2^(-'⚙ Parámetros'!C18*(U101-'⚙ Parámetros'!B18))),'⚙ Parámetros'!G18/(1+2^(-'⚙ Parámetros'!F18*(U101-'⚙ Parámetros'!E18))),1)*U101)/(30/100*MAX('⚙ Parámetros'!D18/(1+2^(-'⚙ Parámetros'!C18*(R101-'⚙ Parámetros'!B18))),'⚙ Parámetros'!G18/(1+2^(-'⚙ Parámetros'!F18*(R101-'⚙ Parámetros'!E18))),1)+30/100*MAX('⚙ Parámetros'!D18/(1+2^(-'⚙ Parámetros'!C18*(S101-'⚙ Parámetros'!B18))),'⚙ Parámetros'!G18/(1+2^(-'⚙ Parámetros'!F18*(S101-'⚙ Parámetros'!E18))),1)+20/100*MAX('⚙ Parámetros'!D18/(1+2^(-'⚙ Parámetros'!C18*(T101-'⚙ Parámetros'!B18))),'⚙ Parámetros'!G18/(1+2^(-'⚙ Parámetros'!F18*(T101-'⚙ Parámetros'!E18))),1)+20/100*MAX('⚙ Parámetros'!D18/(1+2^(-'⚙ Parámetros'!C18*(U101-'⚙ Parámetros'!B18))),'⚙ Parámetros'!G18/(1+2^(-'⚙ Parámetros'!F18*(U101-'⚙ Parámetros'!E18))),1)),0)</f>
        <v>8.1801060365339655</v>
      </c>
      <c r="AF101" s="80">
        <f>IFERROR((30/100*MAX('⚙ Parámetros'!D19/(1+2^(-'⚙ Parámetros'!C19*(V101-'⚙ Parámetros'!B19))),'⚙ Parámetros'!G19/(1+2^(-'⚙ Parámetros'!F19*(V101-'⚙ Parámetros'!E19))),1)*V101+35/100*MAX('⚙ Parámetros'!D19/(1+2^(-'⚙ Parámetros'!C19*(W101-'⚙ Parámetros'!B19))),'⚙ Parámetros'!G19/(1+2^(-'⚙ Parámetros'!F19*(W101-'⚙ Parámetros'!E19))),1)*W101+35/100*MAX('⚙ Parámetros'!D19/(1+2^(-'⚙ Parámetros'!C19*(X101-'⚙ Parámetros'!B19))),'⚙ Parámetros'!G19/(1+2^(-'⚙ Parámetros'!F19*(X101-'⚙ Parámetros'!E19))),1)*X101)/(30/100*MAX('⚙ Parámetros'!D19/(1+2^(-'⚙ Parámetros'!C19*(V101-'⚙ Parámetros'!B19))),'⚙ Parámetros'!G19/(1+2^(-'⚙ Parámetros'!F19*(V101-'⚙ Parámetros'!E19))),1)+35/100*MAX('⚙ Parámetros'!D19/(1+2^(-'⚙ Parámetros'!C19*(W101-'⚙ Parámetros'!B19))),'⚙ Parámetros'!G19/(1+2^(-'⚙ Parámetros'!F19*(W101-'⚙ Parámetros'!E19))),1)+35/100*MAX('⚙ Parámetros'!D19/(1+2^(-'⚙ Parámetros'!C19*(X101-'⚙ Parámetros'!B19))),'⚙ Parámetros'!G19/(1+2^(-'⚙ Parámetros'!F19*(X101-'⚙ Parámetros'!E19))),1)),0)</f>
        <v>8.0351483057098907</v>
      </c>
      <c r="AG101" s="80">
        <f>IFERROR((35/100*MAX('⚙ Parámetros'!D20/(1+2^(-'⚙ Parámetros'!C20*(Y101-'⚙ Parámetros'!B20))),'⚙ Parámetros'!G20/(1+2^(-'⚙ Parámetros'!F20*(Y101-'⚙ Parámetros'!E20))),1)*Y101+35/100*MAX('⚙ Parámetros'!D20/(1+2^(-'⚙ Parámetros'!C20*(Z101-'⚙ Parámetros'!B20))),'⚙ Parámetros'!G20/(1+2^(-'⚙ Parámetros'!F20*(Z101-'⚙ Parámetros'!E20))),1)*Z101+30/100*MAX('⚙ Parámetros'!D20/(1+2^(-'⚙ Parámetros'!C20*(AA101-'⚙ Parámetros'!B20))),'⚙ Parámetros'!G20/(1+2^(-'⚙ Parámetros'!F20*(AA101-'⚙ Parámetros'!E20))),1)*AA101)/(35/100*MAX('⚙ Parámetros'!D20/(1+2^(-'⚙ Parámetros'!C20*(Y101-'⚙ Parámetros'!B20))),'⚙ Parámetros'!G20/(1+2^(-'⚙ Parámetros'!F20*(Y101-'⚙ Parámetros'!E20))),1)+35/100*MAX('⚙ Parámetros'!D20/(1+2^(-'⚙ Parámetros'!C20*(Z101-'⚙ Parámetros'!B20))),'⚙ Parámetros'!G20/(1+2^(-'⚙ Parámetros'!F20*(Z101-'⚙ Parámetros'!E20))),1)+30/100*MAX('⚙ Parámetros'!D20/(1+2^(-'⚙ Parámetros'!C20*(AA101-'⚙ Parámetros'!B20))),'⚙ Parámetros'!G20/(1+2^(-'⚙ Parámetros'!F20*(AA101-'⚙ Parámetros'!E20))),1)),0)</f>
        <v>5.8125</v>
      </c>
      <c r="AH101" s="81">
        <f>('⚙ Parámetros'!B5/100*AB101+'⚙ Parámetros'!B6/100*AC101+'⚙ Parámetros'!B7/100*AD101+'⚙ Parámetros'!B8/100*AE101+'⚙ Parámetros'!B9/100*AF101+'⚙ Parámetros'!B10/100*AG101)</f>
        <v>3.0301275549550648</v>
      </c>
      <c r="AI101" s="33">
        <f ca="1">MIN(1+MAX(0,TODAY()-DATE(2025,4,14))/365*'⚙ Parámetros'!B33,'⚙ Parámetros'!B34)</f>
        <v>1.1742465753424658</v>
      </c>
      <c r="AJ101" s="82">
        <f t="shared" ref="AJ101:AJ132" ca="1" si="6">IFERROR(MIN(AH101*AI101,10),0)</f>
        <v>3.5581169042568241</v>
      </c>
      <c r="AK101" s="83" t="str">
        <f ca="1">IF(AB101&gt;='⚙ Parámetros'!B23,"⚑ AUTO-PRIOR.(D1≥8)",IF(AJ101&gt;='⚙ Parámetros'!B23,"PRIORITARIO",IF(AJ101&gt;='⚙ Parámetros'!B24,"ALTA PRIORIDAD",IF(AJ101&gt;='⚙ Parámetros'!B25,"PRIORIDAD MEDIA",IF(AJ101&gt;='⚙ Parámetros'!B26,"BAJA PRIORIDAD","DESCARTAR")))))</f>
        <v>DESCARTAR</v>
      </c>
      <c r="AL101" s="84" t="str">
        <f t="shared" ref="AL101:AL132" si="7">IF(AB101&gt;=8,"SÍ ⚑","—")</f>
        <v>—</v>
      </c>
      <c r="AM101" s="85">
        <v>16</v>
      </c>
      <c r="AN101" s="83" t="str">
        <f>IF(AM101="","—",IF(AM101&lt;'⚙ Parámetros'!B29,"🟢 Corto",IF(AM101&lt;'⚙ Parámetros'!B30,"🟡 Medio","🔴 Largo")))</f>
        <v>🟢 Corto</v>
      </c>
    </row>
    <row r="102" spans="1:40" ht="18.75" customHeight="1" x14ac:dyDescent="0.25">
      <c r="A102" s="69">
        <v>98</v>
      </c>
      <c r="B102" s="30" t="s">
        <v>325</v>
      </c>
      <c r="C102" s="26" t="s">
        <v>135</v>
      </c>
      <c r="D102" s="71" t="s">
        <v>139</v>
      </c>
      <c r="E102" s="72" t="s">
        <v>326</v>
      </c>
      <c r="F102" s="74">
        <v>1</v>
      </c>
      <c r="G102" s="74">
        <v>1</v>
      </c>
      <c r="H102" s="74">
        <v>1</v>
      </c>
      <c r="I102" s="74">
        <v>1</v>
      </c>
      <c r="J102" s="74">
        <v>1</v>
      </c>
      <c r="K102" s="74">
        <v>1</v>
      </c>
      <c r="L102" s="74">
        <v>1</v>
      </c>
      <c r="M102" s="86">
        <v>3</v>
      </c>
      <c r="N102" s="86">
        <v>7</v>
      </c>
      <c r="O102" s="74">
        <v>1</v>
      </c>
      <c r="P102" s="74">
        <v>1</v>
      </c>
      <c r="Q102" s="74">
        <v>1</v>
      </c>
      <c r="R102" s="86">
        <v>6</v>
      </c>
      <c r="S102" s="86">
        <v>6</v>
      </c>
      <c r="T102" s="86">
        <v>5</v>
      </c>
      <c r="U102" s="86">
        <v>5</v>
      </c>
      <c r="V102" s="77">
        <v>8</v>
      </c>
      <c r="W102" s="86">
        <v>4</v>
      </c>
      <c r="X102" s="86">
        <v>5</v>
      </c>
      <c r="Y102" s="86">
        <v>4</v>
      </c>
      <c r="Z102" s="74">
        <v>2</v>
      </c>
      <c r="AA102" s="86">
        <v>5</v>
      </c>
      <c r="AB102" s="89">
        <f>IFERROR((30/100*MAX('⚙ Parámetros'!D15/(1+2^(-'⚙ Parámetros'!C15*(F102-'⚙ Parámetros'!B15))),'⚙ Parámetros'!G15/(1+2^(-'⚙ Parámetros'!F15*(F102-'⚙ Parámetros'!E15))),1)*F102+30/100*MAX('⚙ Parámetros'!D15/(1+2^(-'⚙ Parámetros'!C15*(G102-'⚙ Parámetros'!B15))),'⚙ Parámetros'!G15/(1+2^(-'⚙ Parámetros'!F15*(G102-'⚙ Parámetros'!E15))),1)*G102+20/100*MAX('⚙ Parámetros'!D15/(1+2^(-'⚙ Parámetros'!C15*(H102-'⚙ Parámetros'!B15))),'⚙ Parámetros'!G15/(1+2^(-'⚙ Parámetros'!F15*(H102-'⚙ Parámetros'!E15))),1)*H102+20/100*MAX('⚙ Parámetros'!D15/(1+2^(-'⚙ Parámetros'!C15*(I102-'⚙ Parámetros'!B15))),'⚙ Parámetros'!G15/(1+2^(-'⚙ Parámetros'!F15*(I102-'⚙ Parámetros'!E15))),1)*I102)/(30/100*MAX('⚙ Parámetros'!D15/(1+2^(-'⚙ Parámetros'!C15*(F102-'⚙ Parámetros'!B15))),'⚙ Parámetros'!G15/(1+2^(-'⚙ Parámetros'!F15*(F102-'⚙ Parámetros'!E15))),1)+30/100*MAX('⚙ Parámetros'!D15/(1+2^(-'⚙ Parámetros'!C15*(G102-'⚙ Parámetros'!B15))),'⚙ Parámetros'!G15/(1+2^(-'⚙ Parámetros'!F15*(G102-'⚙ Parámetros'!E15))),1)+20/100*MAX('⚙ Parámetros'!D15/(1+2^(-'⚙ Parámetros'!C15*(H102-'⚙ Parámetros'!B15))),'⚙ Parámetros'!G15/(1+2^(-'⚙ Parámetros'!F15*(H102-'⚙ Parámetros'!E15))),1)+20/100*MAX('⚙ Parámetros'!D15/(1+2^(-'⚙ Parámetros'!C15*(I102-'⚙ Parámetros'!B15))),'⚙ Parámetros'!G15/(1+2^(-'⚙ Parámetros'!F15*(I102-'⚙ Parámetros'!E15))),1)),0)</f>
        <v>1</v>
      </c>
      <c r="AC102" s="89">
        <f>IFERROR((35/100*MAX('⚙ Parámetros'!D16/(1+2^(-'⚙ Parámetros'!C16*(J102-'⚙ Parámetros'!B16))),'⚙ Parámetros'!G16/(1+2^(-'⚙ Parámetros'!F16*(J102-'⚙ Parámetros'!E16))),1)*J102+25/100*MAX('⚙ Parámetros'!D16/(1+2^(-'⚙ Parámetros'!C16*(K102-'⚙ Parámetros'!B16))),'⚙ Parámetros'!G16/(1+2^(-'⚙ Parámetros'!F16*(K102-'⚙ Parámetros'!E16))),1)*K102+20/100*MAX('⚙ Parámetros'!D16/(1+2^(-'⚙ Parámetros'!C16*(L102-'⚙ Parámetros'!B16))),'⚙ Parámetros'!G16/(1+2^(-'⚙ Parámetros'!F16*(L102-'⚙ Parámetros'!E16))),1)*L102+20/100*MAX('⚙ Parámetros'!D16/(1+2^(-'⚙ Parámetros'!C16*(M102-'⚙ Parámetros'!B16))),'⚙ Parámetros'!G16/(1+2^(-'⚙ Parámetros'!F16*(M102-'⚙ Parámetros'!E16))),1)*M102)/(35/100*MAX('⚙ Parámetros'!D16/(1+2^(-'⚙ Parámetros'!C16*(J102-'⚙ Parámetros'!B16))),'⚙ Parámetros'!G16/(1+2^(-'⚙ Parámetros'!F16*(J102-'⚙ Parámetros'!E16))),1)+25/100*MAX('⚙ Parámetros'!D16/(1+2^(-'⚙ Parámetros'!C16*(K102-'⚙ Parámetros'!B16))),'⚙ Parámetros'!G16/(1+2^(-'⚙ Parámetros'!F16*(K102-'⚙ Parámetros'!E16))),1)+20/100*MAX('⚙ Parámetros'!D16/(1+2^(-'⚙ Parámetros'!C16*(L102-'⚙ Parámetros'!B16))),'⚙ Parámetros'!G16/(1+2^(-'⚙ Parámetros'!F16*(L102-'⚙ Parámetros'!E16))),1)+20/100*MAX('⚙ Parámetros'!D16/(1+2^(-'⚙ Parámetros'!C16*(M102-'⚙ Parámetros'!B16))),'⚙ Parámetros'!G16/(1+2^(-'⚙ Parámetros'!F16*(M102-'⚙ Parámetros'!E16))),1)),0)</f>
        <v>1.4000000000000001</v>
      </c>
      <c r="AD102" s="89">
        <f>IFERROR((30/100*MAX('⚙ Parámetros'!D17/(1+2^(-'⚙ Parámetros'!C17*(N102-'⚙ Parámetros'!B17))),'⚙ Parámetros'!G17/(1+2^(-'⚙ Parámetros'!F17*(N102-'⚙ Parámetros'!E17))),1)*N102+25/100*MAX('⚙ Parámetros'!D17/(1+2^(-'⚙ Parámetros'!C17*(O102-'⚙ Parámetros'!B17))),'⚙ Parámetros'!G17/(1+2^(-'⚙ Parámetros'!F17*(O102-'⚙ Parámetros'!E17))),1)*O102+25/100*MAX('⚙ Parámetros'!D17/(1+2^(-'⚙ Parámetros'!C17*(P102-'⚙ Parámetros'!B17))),'⚙ Parámetros'!G17/(1+2^(-'⚙ Parámetros'!F17*(P102-'⚙ Parámetros'!E17))),1)*P102+20/100*MAX('⚙ Parámetros'!D17/(1+2^(-'⚙ Parámetros'!C17*(Q102-'⚙ Parámetros'!B17))),'⚙ Parámetros'!G17/(1+2^(-'⚙ Parámetros'!F17*(Q102-'⚙ Parámetros'!E17))),1)*Q102)/(30/100*MAX('⚙ Parámetros'!D17/(1+2^(-'⚙ Parámetros'!C17*(N102-'⚙ Parámetros'!B17))),'⚙ Parámetros'!G17/(1+2^(-'⚙ Parámetros'!F17*(N102-'⚙ Parámetros'!E17))),1)+25/100*MAX('⚙ Parámetros'!D17/(1+2^(-'⚙ Parámetros'!C17*(O102-'⚙ Parámetros'!B17))),'⚙ Parámetros'!G17/(1+2^(-'⚙ Parámetros'!F17*(O102-'⚙ Parámetros'!E17))),1)+25/100*MAX('⚙ Parámetros'!D17/(1+2^(-'⚙ Parámetros'!C17*(P102-'⚙ Parámetros'!B17))),'⚙ Parámetros'!G17/(1+2^(-'⚙ Parámetros'!F17*(P102-'⚙ Parámetros'!E17))),1)+20/100*MAX('⚙ Parámetros'!D17/(1+2^(-'⚙ Parámetros'!C17*(Q102-'⚙ Parámetros'!B17))),'⚙ Parámetros'!G17/(1+2^(-'⚙ Parámetros'!F17*(Q102-'⚙ Parámetros'!E17))),1)),0)</f>
        <v>4.2</v>
      </c>
      <c r="AE102" s="89">
        <f>IFERROR((30/100*MAX('⚙ Parámetros'!D18/(1+2^(-'⚙ Parámetros'!C18*(R102-'⚙ Parámetros'!B18))),'⚙ Parámetros'!G18/(1+2^(-'⚙ Parámetros'!F18*(R102-'⚙ Parámetros'!E18))),1)*R102+30/100*MAX('⚙ Parámetros'!D18/(1+2^(-'⚙ Parámetros'!C18*(S102-'⚙ Parámetros'!B18))),'⚙ Parámetros'!G18/(1+2^(-'⚙ Parámetros'!F18*(S102-'⚙ Parámetros'!E18))),1)*S102+20/100*MAX('⚙ Parámetros'!D18/(1+2^(-'⚙ Parámetros'!C18*(T102-'⚙ Parámetros'!B18))),'⚙ Parámetros'!G18/(1+2^(-'⚙ Parámetros'!F18*(T102-'⚙ Parámetros'!E18))),1)*T102+20/100*MAX('⚙ Parámetros'!D18/(1+2^(-'⚙ Parámetros'!C18*(U102-'⚙ Parámetros'!B18))),'⚙ Parámetros'!G18/(1+2^(-'⚙ Parámetros'!F18*(U102-'⚙ Parámetros'!E18))),1)*U102)/(30/100*MAX('⚙ Parámetros'!D18/(1+2^(-'⚙ Parámetros'!C18*(R102-'⚙ Parámetros'!B18))),'⚙ Parámetros'!G18/(1+2^(-'⚙ Parámetros'!F18*(R102-'⚙ Parámetros'!E18))),1)+30/100*MAX('⚙ Parámetros'!D18/(1+2^(-'⚙ Parámetros'!C18*(S102-'⚙ Parámetros'!B18))),'⚙ Parámetros'!G18/(1+2^(-'⚙ Parámetros'!F18*(S102-'⚙ Parámetros'!E18))),1)+20/100*MAX('⚙ Parámetros'!D18/(1+2^(-'⚙ Parámetros'!C18*(T102-'⚙ Parámetros'!B18))),'⚙ Parámetros'!G18/(1+2^(-'⚙ Parámetros'!F18*(T102-'⚙ Parámetros'!E18))),1)+20/100*MAX('⚙ Parámetros'!D18/(1+2^(-'⚙ Parámetros'!C18*(U102-'⚙ Parámetros'!B18))),'⚙ Parámetros'!G18/(1+2^(-'⚙ Parámetros'!F18*(U102-'⚙ Parámetros'!E18))),1)),0)</f>
        <v>5.6428571428571441</v>
      </c>
      <c r="AF102" s="89">
        <f>IFERROR((30/100*MAX('⚙ Parámetros'!D19/(1+2^(-'⚙ Parámetros'!C19*(V102-'⚙ Parámetros'!B19))),'⚙ Parámetros'!G19/(1+2^(-'⚙ Parámetros'!F19*(V102-'⚙ Parámetros'!E19))),1)*V102+35/100*MAX('⚙ Parámetros'!D19/(1+2^(-'⚙ Parámetros'!C19*(W102-'⚙ Parámetros'!B19))),'⚙ Parámetros'!G19/(1+2^(-'⚙ Parámetros'!F19*(W102-'⚙ Parámetros'!E19))),1)*W102+35/100*MAX('⚙ Parámetros'!D19/(1+2^(-'⚙ Parámetros'!C19*(X102-'⚙ Parámetros'!B19))),'⚙ Parámetros'!G19/(1+2^(-'⚙ Parámetros'!F19*(X102-'⚙ Parámetros'!E19))),1)*X102)/(30/100*MAX('⚙ Parámetros'!D19/(1+2^(-'⚙ Parámetros'!C19*(V102-'⚙ Parámetros'!B19))),'⚙ Parámetros'!G19/(1+2^(-'⚙ Parámetros'!F19*(V102-'⚙ Parámetros'!E19))),1)+35/100*MAX('⚙ Parámetros'!D19/(1+2^(-'⚙ Parámetros'!C19*(W102-'⚙ Parámetros'!B19))),'⚙ Parámetros'!G19/(1+2^(-'⚙ Parámetros'!F19*(W102-'⚙ Parámetros'!E19))),1)+35/100*MAX('⚙ Parámetros'!D19/(1+2^(-'⚙ Parámetros'!C19*(X102-'⚙ Parámetros'!B19))),'⚙ Parámetros'!G19/(1+2^(-'⚙ Parámetros'!F19*(X102-'⚙ Parámetros'!E19))),1)),0)</f>
        <v>6.1538461538461542</v>
      </c>
      <c r="AG102" s="89">
        <f>IFERROR((35/100*MAX('⚙ Parámetros'!D20/(1+2^(-'⚙ Parámetros'!C20*(Y102-'⚙ Parámetros'!B20))),'⚙ Parámetros'!G20/(1+2^(-'⚙ Parámetros'!F20*(Y102-'⚙ Parámetros'!E20))),1)*Y102+35/100*MAX('⚙ Parámetros'!D20/(1+2^(-'⚙ Parámetros'!C20*(Z102-'⚙ Parámetros'!B20))),'⚙ Parámetros'!G20/(1+2^(-'⚙ Parámetros'!F20*(Z102-'⚙ Parámetros'!E20))),1)*Z102+30/100*MAX('⚙ Parámetros'!D20/(1+2^(-'⚙ Parámetros'!C20*(AA102-'⚙ Parámetros'!B20))),'⚙ Parámetros'!G20/(1+2^(-'⚙ Parámetros'!F20*(AA102-'⚙ Parámetros'!E20))),1)*AA102)/(35/100*MAX('⚙ Parámetros'!D20/(1+2^(-'⚙ Parámetros'!C20*(Y102-'⚙ Parámetros'!B20))),'⚙ Parámetros'!G20/(1+2^(-'⚙ Parámetros'!F20*(Y102-'⚙ Parámetros'!E20))),1)+35/100*MAX('⚙ Parámetros'!D20/(1+2^(-'⚙ Parámetros'!C20*(Z102-'⚙ Parámetros'!B20))),'⚙ Parámetros'!G20/(1+2^(-'⚙ Parámetros'!F20*(Z102-'⚙ Parámetros'!E20))),1)+30/100*MAX('⚙ Parámetros'!D20/(1+2^(-'⚙ Parámetros'!C20*(AA102-'⚙ Parámetros'!B20))),'⚙ Parámetros'!G20/(1+2^(-'⚙ Parámetros'!F20*(AA102-'⚙ Parámetros'!E20))),1)),0)</f>
        <v>3.7272727272727275</v>
      </c>
      <c r="AH102" s="90">
        <f>('⚙ Parámetros'!B5/100*AB102+'⚙ Parámetros'!B6/100*AC102+'⚙ Parámetros'!B7/100*AD102+'⚙ Parámetros'!B8/100*AE102+'⚙ Parámetros'!B9/100*AF102+'⚙ Parámetros'!B10/100*AG102)</f>
        <v>3.0107092907092912</v>
      </c>
      <c r="AI102" s="91">
        <f ca="1">MIN(1+MAX(0,TODAY()-DATE(2026,2,12))/365*'⚙ Parámetros'!B33,'⚙ Parámetros'!B34)</f>
        <v>1.0493150684931507</v>
      </c>
      <c r="AJ102" s="82">
        <f t="shared" ca="1" si="6"/>
        <v>3.1591826255935849</v>
      </c>
      <c r="AK102" s="92" t="str">
        <f ca="1">IF(AB102&gt;='⚙ Parámetros'!B23,"⚑ AUTO-PRIOR.(D1≥8)",IF(AJ102&gt;='⚙ Parámetros'!B23,"PRIORITARIO",IF(AJ102&gt;='⚙ Parámetros'!B24,"ALTA PRIORIDAD",IF(AJ102&gt;='⚙ Parámetros'!B25,"PRIORIDAD MEDIA",IF(AJ102&gt;='⚙ Parámetros'!B26,"BAJA PRIORIDAD","DESCARTAR")))))</f>
        <v>DESCARTAR</v>
      </c>
      <c r="AL102" s="69" t="str">
        <f t="shared" si="7"/>
        <v>—</v>
      </c>
      <c r="AM102" s="85">
        <v>15</v>
      </c>
      <c r="AN102" s="83" t="str">
        <f>IF(AM102="","—",IF(AM102&lt;'⚙ Parámetros'!B29,"🟢 Corto",IF(AM102&lt;'⚙ Parámetros'!B30,"🟡 Medio","🔴 Largo")))</f>
        <v>🟢 Corto</v>
      </c>
    </row>
    <row r="103" spans="1:40" ht="18.75" customHeight="1" x14ac:dyDescent="0.25">
      <c r="A103" s="69">
        <v>99</v>
      </c>
      <c r="B103" s="70" t="s">
        <v>327</v>
      </c>
      <c r="C103" s="4" t="s">
        <v>138</v>
      </c>
      <c r="D103" s="71" t="s">
        <v>136</v>
      </c>
      <c r="E103" s="72" t="s">
        <v>177</v>
      </c>
      <c r="F103" s="74">
        <v>1</v>
      </c>
      <c r="G103" s="74">
        <v>1</v>
      </c>
      <c r="H103" s="74">
        <v>1</v>
      </c>
      <c r="I103" s="74">
        <v>1</v>
      </c>
      <c r="J103" s="74">
        <v>1</v>
      </c>
      <c r="K103" s="74">
        <v>1</v>
      </c>
      <c r="L103" s="74">
        <v>1</v>
      </c>
      <c r="M103" s="73">
        <v>3</v>
      </c>
      <c r="N103" s="73">
        <v>7</v>
      </c>
      <c r="O103" s="74">
        <v>1</v>
      </c>
      <c r="P103" s="74">
        <v>1</v>
      </c>
      <c r="Q103" s="74">
        <v>1</v>
      </c>
      <c r="R103" s="73">
        <v>5</v>
      </c>
      <c r="S103" s="73">
        <v>5</v>
      </c>
      <c r="T103" s="73">
        <v>5</v>
      </c>
      <c r="U103" s="73">
        <v>5</v>
      </c>
      <c r="V103" s="73">
        <v>5</v>
      </c>
      <c r="W103" s="73">
        <v>6</v>
      </c>
      <c r="X103" s="73">
        <v>6</v>
      </c>
      <c r="Y103" s="73">
        <v>4</v>
      </c>
      <c r="Z103" s="74">
        <v>2</v>
      </c>
      <c r="AA103" s="73">
        <v>5</v>
      </c>
      <c r="AB103" s="80">
        <f>IFERROR((30/100*MAX('⚙ Parámetros'!D15/(1+2^(-'⚙ Parámetros'!C15*(F103-'⚙ Parámetros'!B15))),'⚙ Parámetros'!G15/(1+2^(-'⚙ Parámetros'!F15*(F103-'⚙ Parámetros'!E15))),1)*F103+30/100*MAX('⚙ Parámetros'!D15/(1+2^(-'⚙ Parámetros'!C15*(G103-'⚙ Parámetros'!B15))),'⚙ Parámetros'!G15/(1+2^(-'⚙ Parámetros'!F15*(G103-'⚙ Parámetros'!E15))),1)*G103+20/100*MAX('⚙ Parámetros'!D15/(1+2^(-'⚙ Parámetros'!C15*(H103-'⚙ Parámetros'!B15))),'⚙ Parámetros'!G15/(1+2^(-'⚙ Parámetros'!F15*(H103-'⚙ Parámetros'!E15))),1)*H103+20/100*MAX('⚙ Parámetros'!D15/(1+2^(-'⚙ Parámetros'!C15*(I103-'⚙ Parámetros'!B15))),'⚙ Parámetros'!G15/(1+2^(-'⚙ Parámetros'!F15*(I103-'⚙ Parámetros'!E15))),1)*I103)/(30/100*MAX('⚙ Parámetros'!D15/(1+2^(-'⚙ Parámetros'!C15*(F103-'⚙ Parámetros'!B15))),'⚙ Parámetros'!G15/(1+2^(-'⚙ Parámetros'!F15*(F103-'⚙ Parámetros'!E15))),1)+30/100*MAX('⚙ Parámetros'!D15/(1+2^(-'⚙ Parámetros'!C15*(G103-'⚙ Parámetros'!B15))),'⚙ Parámetros'!G15/(1+2^(-'⚙ Parámetros'!F15*(G103-'⚙ Parámetros'!E15))),1)+20/100*MAX('⚙ Parámetros'!D15/(1+2^(-'⚙ Parámetros'!C15*(H103-'⚙ Parámetros'!B15))),'⚙ Parámetros'!G15/(1+2^(-'⚙ Parámetros'!F15*(H103-'⚙ Parámetros'!E15))),1)+20/100*MAX('⚙ Parámetros'!D15/(1+2^(-'⚙ Parámetros'!C15*(I103-'⚙ Parámetros'!B15))),'⚙ Parámetros'!G15/(1+2^(-'⚙ Parámetros'!F15*(I103-'⚙ Parámetros'!E15))),1)),0)</f>
        <v>1</v>
      </c>
      <c r="AC103" s="80">
        <f>IFERROR((35/100*MAX('⚙ Parámetros'!D16/(1+2^(-'⚙ Parámetros'!C16*(J103-'⚙ Parámetros'!B16))),'⚙ Parámetros'!G16/(1+2^(-'⚙ Parámetros'!F16*(J103-'⚙ Parámetros'!E16))),1)*J103+25/100*MAX('⚙ Parámetros'!D16/(1+2^(-'⚙ Parámetros'!C16*(K103-'⚙ Parámetros'!B16))),'⚙ Parámetros'!G16/(1+2^(-'⚙ Parámetros'!F16*(K103-'⚙ Parámetros'!E16))),1)*K103+20/100*MAX('⚙ Parámetros'!D16/(1+2^(-'⚙ Parámetros'!C16*(L103-'⚙ Parámetros'!B16))),'⚙ Parámetros'!G16/(1+2^(-'⚙ Parámetros'!F16*(L103-'⚙ Parámetros'!E16))),1)*L103+20/100*MAX('⚙ Parámetros'!D16/(1+2^(-'⚙ Parámetros'!C16*(M103-'⚙ Parámetros'!B16))),'⚙ Parámetros'!G16/(1+2^(-'⚙ Parámetros'!F16*(M103-'⚙ Parámetros'!E16))),1)*M103)/(35/100*MAX('⚙ Parámetros'!D16/(1+2^(-'⚙ Parámetros'!C16*(J103-'⚙ Parámetros'!B16))),'⚙ Parámetros'!G16/(1+2^(-'⚙ Parámetros'!F16*(J103-'⚙ Parámetros'!E16))),1)+25/100*MAX('⚙ Parámetros'!D16/(1+2^(-'⚙ Parámetros'!C16*(K103-'⚙ Parámetros'!B16))),'⚙ Parámetros'!G16/(1+2^(-'⚙ Parámetros'!F16*(K103-'⚙ Parámetros'!E16))),1)+20/100*MAX('⚙ Parámetros'!D16/(1+2^(-'⚙ Parámetros'!C16*(L103-'⚙ Parámetros'!B16))),'⚙ Parámetros'!G16/(1+2^(-'⚙ Parámetros'!F16*(L103-'⚙ Parámetros'!E16))),1)+20/100*MAX('⚙ Parámetros'!D16/(1+2^(-'⚙ Parámetros'!C16*(M103-'⚙ Parámetros'!B16))),'⚙ Parámetros'!G16/(1+2^(-'⚙ Parámetros'!F16*(M103-'⚙ Parámetros'!E16))),1)),0)</f>
        <v>1.4000000000000001</v>
      </c>
      <c r="AD103" s="80">
        <f>IFERROR((30/100*MAX('⚙ Parámetros'!D17/(1+2^(-'⚙ Parámetros'!C17*(N103-'⚙ Parámetros'!B17))),'⚙ Parámetros'!G17/(1+2^(-'⚙ Parámetros'!F17*(N103-'⚙ Parámetros'!E17))),1)*N103+25/100*MAX('⚙ Parámetros'!D17/(1+2^(-'⚙ Parámetros'!C17*(O103-'⚙ Parámetros'!B17))),'⚙ Parámetros'!G17/(1+2^(-'⚙ Parámetros'!F17*(O103-'⚙ Parámetros'!E17))),1)*O103+25/100*MAX('⚙ Parámetros'!D17/(1+2^(-'⚙ Parámetros'!C17*(P103-'⚙ Parámetros'!B17))),'⚙ Parámetros'!G17/(1+2^(-'⚙ Parámetros'!F17*(P103-'⚙ Parámetros'!E17))),1)*P103+20/100*MAX('⚙ Parámetros'!D17/(1+2^(-'⚙ Parámetros'!C17*(Q103-'⚙ Parámetros'!B17))),'⚙ Parámetros'!G17/(1+2^(-'⚙ Parámetros'!F17*(Q103-'⚙ Parámetros'!E17))),1)*Q103)/(30/100*MAX('⚙ Parámetros'!D17/(1+2^(-'⚙ Parámetros'!C17*(N103-'⚙ Parámetros'!B17))),'⚙ Parámetros'!G17/(1+2^(-'⚙ Parámetros'!F17*(N103-'⚙ Parámetros'!E17))),1)+25/100*MAX('⚙ Parámetros'!D17/(1+2^(-'⚙ Parámetros'!C17*(O103-'⚙ Parámetros'!B17))),'⚙ Parámetros'!G17/(1+2^(-'⚙ Parámetros'!F17*(O103-'⚙ Parámetros'!E17))),1)+25/100*MAX('⚙ Parámetros'!D17/(1+2^(-'⚙ Parámetros'!C17*(P103-'⚙ Parámetros'!B17))),'⚙ Parámetros'!G17/(1+2^(-'⚙ Parámetros'!F17*(P103-'⚙ Parámetros'!E17))),1)+20/100*MAX('⚙ Parámetros'!D17/(1+2^(-'⚙ Parámetros'!C17*(Q103-'⚙ Parámetros'!B17))),'⚙ Parámetros'!G17/(1+2^(-'⚙ Parámetros'!F17*(Q103-'⚙ Parámetros'!E17))),1)),0)</f>
        <v>4.2</v>
      </c>
      <c r="AE103" s="80">
        <f>IFERROR((30/100*MAX('⚙ Parámetros'!D18/(1+2^(-'⚙ Parámetros'!C18*(R103-'⚙ Parámetros'!B18))),'⚙ Parámetros'!G18/(1+2^(-'⚙ Parámetros'!F18*(R103-'⚙ Parámetros'!E18))),1)*R103+30/100*MAX('⚙ Parámetros'!D18/(1+2^(-'⚙ Parámetros'!C18*(S103-'⚙ Parámetros'!B18))),'⚙ Parámetros'!G18/(1+2^(-'⚙ Parámetros'!F18*(S103-'⚙ Parámetros'!E18))),1)*S103+20/100*MAX('⚙ Parámetros'!D18/(1+2^(-'⚙ Parámetros'!C18*(T103-'⚙ Parámetros'!B18))),'⚙ Parámetros'!G18/(1+2^(-'⚙ Parámetros'!F18*(T103-'⚙ Parámetros'!E18))),1)*T103+20/100*MAX('⚙ Parámetros'!D18/(1+2^(-'⚙ Parámetros'!C18*(U103-'⚙ Parámetros'!B18))),'⚙ Parámetros'!G18/(1+2^(-'⚙ Parámetros'!F18*(U103-'⚙ Parámetros'!E18))),1)*U103)/(30/100*MAX('⚙ Parámetros'!D18/(1+2^(-'⚙ Parámetros'!C18*(R103-'⚙ Parámetros'!B18))),'⚙ Parámetros'!G18/(1+2^(-'⚙ Parámetros'!F18*(R103-'⚙ Parámetros'!E18))),1)+30/100*MAX('⚙ Parámetros'!D18/(1+2^(-'⚙ Parámetros'!C18*(S103-'⚙ Parámetros'!B18))),'⚙ Parámetros'!G18/(1+2^(-'⚙ Parámetros'!F18*(S103-'⚙ Parámetros'!E18))),1)+20/100*MAX('⚙ Parámetros'!D18/(1+2^(-'⚙ Parámetros'!C18*(T103-'⚙ Parámetros'!B18))),'⚙ Parámetros'!G18/(1+2^(-'⚙ Parámetros'!F18*(T103-'⚙ Parámetros'!E18))),1)+20/100*MAX('⚙ Parámetros'!D18/(1+2^(-'⚙ Parámetros'!C18*(U103-'⚙ Parámetros'!B18))),'⚙ Parámetros'!G18/(1+2^(-'⚙ Parámetros'!F18*(U103-'⚙ Parámetros'!E18))),1)),0)</f>
        <v>5</v>
      </c>
      <c r="AF103" s="80">
        <f>IFERROR((30/100*MAX('⚙ Parámetros'!D19/(1+2^(-'⚙ Parámetros'!C19*(V103-'⚙ Parámetros'!B19))),'⚙ Parámetros'!G19/(1+2^(-'⚙ Parámetros'!F19*(V103-'⚙ Parámetros'!E19))),1)*V103+35/100*MAX('⚙ Parámetros'!D19/(1+2^(-'⚙ Parámetros'!C19*(W103-'⚙ Parámetros'!B19))),'⚙ Parámetros'!G19/(1+2^(-'⚙ Parámetros'!F19*(W103-'⚙ Parámetros'!E19))),1)*W103+35/100*MAX('⚙ Parámetros'!D19/(1+2^(-'⚙ Parámetros'!C19*(X103-'⚙ Parámetros'!B19))),'⚙ Parámetros'!G19/(1+2^(-'⚙ Parámetros'!F19*(X103-'⚙ Parámetros'!E19))),1)*X103)/(30/100*MAX('⚙ Parámetros'!D19/(1+2^(-'⚙ Parámetros'!C19*(V103-'⚙ Parámetros'!B19))),'⚙ Parámetros'!G19/(1+2^(-'⚙ Parámetros'!F19*(V103-'⚙ Parámetros'!E19))),1)+35/100*MAX('⚙ Parámetros'!D19/(1+2^(-'⚙ Parámetros'!C19*(W103-'⚙ Parámetros'!B19))),'⚙ Parámetros'!G19/(1+2^(-'⚙ Parámetros'!F19*(W103-'⚙ Parámetros'!E19))),1)+35/100*MAX('⚙ Parámetros'!D19/(1+2^(-'⚙ Parámetros'!C19*(X103-'⚙ Parámetros'!B19))),'⚙ Parámetros'!G19/(1+2^(-'⚙ Parámetros'!F19*(X103-'⚙ Parámetros'!E19))),1)),0)</f>
        <v>5.7368421052631575</v>
      </c>
      <c r="AG103" s="80">
        <f>IFERROR((35/100*MAX('⚙ Parámetros'!D20/(1+2^(-'⚙ Parámetros'!C20*(Y103-'⚙ Parámetros'!B20))),'⚙ Parámetros'!G20/(1+2^(-'⚙ Parámetros'!F20*(Y103-'⚙ Parámetros'!E20))),1)*Y103+35/100*MAX('⚙ Parámetros'!D20/(1+2^(-'⚙ Parámetros'!C20*(Z103-'⚙ Parámetros'!B20))),'⚙ Parámetros'!G20/(1+2^(-'⚙ Parámetros'!F20*(Z103-'⚙ Parámetros'!E20))),1)*Z103+30/100*MAX('⚙ Parámetros'!D20/(1+2^(-'⚙ Parámetros'!C20*(AA103-'⚙ Parámetros'!B20))),'⚙ Parámetros'!G20/(1+2^(-'⚙ Parámetros'!F20*(AA103-'⚙ Parámetros'!E20))),1)*AA103)/(35/100*MAX('⚙ Parámetros'!D20/(1+2^(-'⚙ Parámetros'!C20*(Y103-'⚙ Parámetros'!B20))),'⚙ Parámetros'!G20/(1+2^(-'⚙ Parámetros'!F20*(Y103-'⚙ Parámetros'!E20))),1)+35/100*MAX('⚙ Parámetros'!D20/(1+2^(-'⚙ Parámetros'!C20*(Z103-'⚙ Parámetros'!B20))),'⚙ Parámetros'!G20/(1+2^(-'⚙ Parámetros'!F20*(Z103-'⚙ Parámetros'!E20))),1)+30/100*MAX('⚙ Parámetros'!D20/(1+2^(-'⚙ Parámetros'!C20*(AA103-'⚙ Parámetros'!B20))),'⚙ Parámetros'!G20/(1+2^(-'⚙ Parámetros'!F20*(AA103-'⚙ Parámetros'!E20))),1)),0)</f>
        <v>3.7272727272727275</v>
      </c>
      <c r="AH103" s="81">
        <f>('⚙ Parámetros'!B5/100*AB103+'⚙ Parámetros'!B6/100*AC103+'⚙ Parámetros'!B7/100*AD103+'⚙ Parámetros'!B8/100*AE103+'⚙ Parámetros'!B9/100*AF103+'⚙ Parámetros'!B10/100*AG103)</f>
        <v>2.8918660287081344</v>
      </c>
      <c r="AI103" s="33">
        <f ca="1">MIN(1+MAX(0,TODAY()-DATE(2026,3,17))/365*'⚙ Parámetros'!B33,'⚙ Parámetros'!B34)</f>
        <v>1.0357534246575342</v>
      </c>
      <c r="AJ103" s="82">
        <f t="shared" ca="1" si="6"/>
        <v>2.995260142885233</v>
      </c>
      <c r="AK103" s="83" t="str">
        <f ca="1">IF(AB103&gt;='⚙ Parámetros'!B23,"⚑ AUTO-PRIOR.(D1≥8)",IF(AJ103&gt;='⚙ Parámetros'!B23,"PRIORITARIO",IF(AJ103&gt;='⚙ Parámetros'!B24,"ALTA PRIORIDAD",IF(AJ103&gt;='⚙ Parámetros'!B25,"PRIORIDAD MEDIA",IF(AJ103&gt;='⚙ Parámetros'!B26,"BAJA PRIORIDAD","DESCARTAR")))))</f>
        <v>DESCARTAR</v>
      </c>
      <c r="AL103" s="84" t="str">
        <f t="shared" si="7"/>
        <v>—</v>
      </c>
      <c r="AM103" s="85">
        <v>32</v>
      </c>
      <c r="AN103" s="83" t="str">
        <f>IF(AM103="","—",IF(AM103&lt;'⚙ Parámetros'!B29,"🟢 Corto",IF(AM103&lt;'⚙ Parámetros'!B30,"🟡 Medio","🔴 Largo")))</f>
        <v>🟡 Medio</v>
      </c>
    </row>
    <row r="104" spans="1:40" ht="18.75" customHeight="1" x14ac:dyDescent="0.25">
      <c r="A104" s="69">
        <v>100</v>
      </c>
      <c r="B104" s="30" t="s">
        <v>328</v>
      </c>
      <c r="C104" s="26" t="s">
        <v>138</v>
      </c>
      <c r="D104" s="71" t="s">
        <v>136</v>
      </c>
      <c r="E104" s="72" t="s">
        <v>180</v>
      </c>
      <c r="F104" s="74">
        <v>1</v>
      </c>
      <c r="G104" s="74">
        <v>1</v>
      </c>
      <c r="H104" s="74">
        <v>1</v>
      </c>
      <c r="I104" s="74">
        <v>1</v>
      </c>
      <c r="J104" s="74">
        <v>1</v>
      </c>
      <c r="K104" s="74">
        <v>1</v>
      </c>
      <c r="L104" s="74">
        <v>1</v>
      </c>
      <c r="M104" s="86">
        <v>3</v>
      </c>
      <c r="N104" s="86">
        <v>7</v>
      </c>
      <c r="O104" s="74">
        <v>1</v>
      </c>
      <c r="P104" s="74">
        <v>1</v>
      </c>
      <c r="Q104" s="74">
        <v>1</v>
      </c>
      <c r="R104" s="86">
        <v>5</v>
      </c>
      <c r="S104" s="86">
        <v>5</v>
      </c>
      <c r="T104" s="86">
        <v>5</v>
      </c>
      <c r="U104" s="86">
        <v>5</v>
      </c>
      <c r="V104" s="86">
        <v>5</v>
      </c>
      <c r="W104" s="86">
        <v>6</v>
      </c>
      <c r="X104" s="86">
        <v>6</v>
      </c>
      <c r="Y104" s="86">
        <v>4</v>
      </c>
      <c r="Z104" s="74">
        <v>2</v>
      </c>
      <c r="AA104" s="86">
        <v>5</v>
      </c>
      <c r="AB104" s="89">
        <f>IFERROR((30/100*MAX('⚙ Parámetros'!D15/(1+2^(-'⚙ Parámetros'!C15*(F104-'⚙ Parámetros'!B15))),'⚙ Parámetros'!G15/(1+2^(-'⚙ Parámetros'!F15*(F104-'⚙ Parámetros'!E15))),1)*F104+30/100*MAX('⚙ Parámetros'!D15/(1+2^(-'⚙ Parámetros'!C15*(G104-'⚙ Parámetros'!B15))),'⚙ Parámetros'!G15/(1+2^(-'⚙ Parámetros'!F15*(G104-'⚙ Parámetros'!E15))),1)*G104+20/100*MAX('⚙ Parámetros'!D15/(1+2^(-'⚙ Parámetros'!C15*(H104-'⚙ Parámetros'!B15))),'⚙ Parámetros'!G15/(1+2^(-'⚙ Parámetros'!F15*(H104-'⚙ Parámetros'!E15))),1)*H104+20/100*MAX('⚙ Parámetros'!D15/(1+2^(-'⚙ Parámetros'!C15*(I104-'⚙ Parámetros'!B15))),'⚙ Parámetros'!G15/(1+2^(-'⚙ Parámetros'!F15*(I104-'⚙ Parámetros'!E15))),1)*I104)/(30/100*MAX('⚙ Parámetros'!D15/(1+2^(-'⚙ Parámetros'!C15*(F104-'⚙ Parámetros'!B15))),'⚙ Parámetros'!G15/(1+2^(-'⚙ Parámetros'!F15*(F104-'⚙ Parámetros'!E15))),1)+30/100*MAX('⚙ Parámetros'!D15/(1+2^(-'⚙ Parámetros'!C15*(G104-'⚙ Parámetros'!B15))),'⚙ Parámetros'!G15/(1+2^(-'⚙ Parámetros'!F15*(G104-'⚙ Parámetros'!E15))),1)+20/100*MAX('⚙ Parámetros'!D15/(1+2^(-'⚙ Parámetros'!C15*(H104-'⚙ Parámetros'!B15))),'⚙ Parámetros'!G15/(1+2^(-'⚙ Parámetros'!F15*(H104-'⚙ Parámetros'!E15))),1)+20/100*MAX('⚙ Parámetros'!D15/(1+2^(-'⚙ Parámetros'!C15*(I104-'⚙ Parámetros'!B15))),'⚙ Parámetros'!G15/(1+2^(-'⚙ Parámetros'!F15*(I104-'⚙ Parámetros'!E15))),1)),0)</f>
        <v>1</v>
      </c>
      <c r="AC104" s="89">
        <f>IFERROR((35/100*MAX('⚙ Parámetros'!D16/(1+2^(-'⚙ Parámetros'!C16*(J104-'⚙ Parámetros'!B16))),'⚙ Parámetros'!G16/(1+2^(-'⚙ Parámetros'!F16*(J104-'⚙ Parámetros'!E16))),1)*J104+25/100*MAX('⚙ Parámetros'!D16/(1+2^(-'⚙ Parámetros'!C16*(K104-'⚙ Parámetros'!B16))),'⚙ Parámetros'!G16/(1+2^(-'⚙ Parámetros'!F16*(K104-'⚙ Parámetros'!E16))),1)*K104+20/100*MAX('⚙ Parámetros'!D16/(1+2^(-'⚙ Parámetros'!C16*(L104-'⚙ Parámetros'!B16))),'⚙ Parámetros'!G16/(1+2^(-'⚙ Parámetros'!F16*(L104-'⚙ Parámetros'!E16))),1)*L104+20/100*MAX('⚙ Parámetros'!D16/(1+2^(-'⚙ Parámetros'!C16*(M104-'⚙ Parámetros'!B16))),'⚙ Parámetros'!G16/(1+2^(-'⚙ Parámetros'!F16*(M104-'⚙ Parámetros'!E16))),1)*M104)/(35/100*MAX('⚙ Parámetros'!D16/(1+2^(-'⚙ Parámetros'!C16*(J104-'⚙ Parámetros'!B16))),'⚙ Parámetros'!G16/(1+2^(-'⚙ Parámetros'!F16*(J104-'⚙ Parámetros'!E16))),1)+25/100*MAX('⚙ Parámetros'!D16/(1+2^(-'⚙ Parámetros'!C16*(K104-'⚙ Parámetros'!B16))),'⚙ Parámetros'!G16/(1+2^(-'⚙ Parámetros'!F16*(K104-'⚙ Parámetros'!E16))),1)+20/100*MAX('⚙ Parámetros'!D16/(1+2^(-'⚙ Parámetros'!C16*(L104-'⚙ Parámetros'!B16))),'⚙ Parámetros'!G16/(1+2^(-'⚙ Parámetros'!F16*(L104-'⚙ Parámetros'!E16))),1)+20/100*MAX('⚙ Parámetros'!D16/(1+2^(-'⚙ Parámetros'!C16*(M104-'⚙ Parámetros'!B16))),'⚙ Parámetros'!G16/(1+2^(-'⚙ Parámetros'!F16*(M104-'⚙ Parámetros'!E16))),1)),0)</f>
        <v>1.4000000000000001</v>
      </c>
      <c r="AD104" s="89">
        <f>IFERROR((30/100*MAX('⚙ Parámetros'!D17/(1+2^(-'⚙ Parámetros'!C17*(N104-'⚙ Parámetros'!B17))),'⚙ Parámetros'!G17/(1+2^(-'⚙ Parámetros'!F17*(N104-'⚙ Parámetros'!E17))),1)*N104+25/100*MAX('⚙ Parámetros'!D17/(1+2^(-'⚙ Parámetros'!C17*(O104-'⚙ Parámetros'!B17))),'⚙ Parámetros'!G17/(1+2^(-'⚙ Parámetros'!F17*(O104-'⚙ Parámetros'!E17))),1)*O104+25/100*MAX('⚙ Parámetros'!D17/(1+2^(-'⚙ Parámetros'!C17*(P104-'⚙ Parámetros'!B17))),'⚙ Parámetros'!G17/(1+2^(-'⚙ Parámetros'!F17*(P104-'⚙ Parámetros'!E17))),1)*P104+20/100*MAX('⚙ Parámetros'!D17/(1+2^(-'⚙ Parámetros'!C17*(Q104-'⚙ Parámetros'!B17))),'⚙ Parámetros'!G17/(1+2^(-'⚙ Parámetros'!F17*(Q104-'⚙ Parámetros'!E17))),1)*Q104)/(30/100*MAX('⚙ Parámetros'!D17/(1+2^(-'⚙ Parámetros'!C17*(N104-'⚙ Parámetros'!B17))),'⚙ Parámetros'!G17/(1+2^(-'⚙ Parámetros'!F17*(N104-'⚙ Parámetros'!E17))),1)+25/100*MAX('⚙ Parámetros'!D17/(1+2^(-'⚙ Parámetros'!C17*(O104-'⚙ Parámetros'!B17))),'⚙ Parámetros'!G17/(1+2^(-'⚙ Parámetros'!F17*(O104-'⚙ Parámetros'!E17))),1)+25/100*MAX('⚙ Parámetros'!D17/(1+2^(-'⚙ Parámetros'!C17*(P104-'⚙ Parámetros'!B17))),'⚙ Parámetros'!G17/(1+2^(-'⚙ Parámetros'!F17*(P104-'⚙ Parámetros'!E17))),1)+20/100*MAX('⚙ Parámetros'!D17/(1+2^(-'⚙ Parámetros'!C17*(Q104-'⚙ Parámetros'!B17))),'⚙ Parámetros'!G17/(1+2^(-'⚙ Parámetros'!F17*(Q104-'⚙ Parámetros'!E17))),1)),0)</f>
        <v>4.2</v>
      </c>
      <c r="AE104" s="89">
        <f>IFERROR((30/100*MAX('⚙ Parámetros'!D18/(1+2^(-'⚙ Parámetros'!C18*(R104-'⚙ Parámetros'!B18))),'⚙ Parámetros'!G18/(1+2^(-'⚙ Parámetros'!F18*(R104-'⚙ Parámetros'!E18))),1)*R104+30/100*MAX('⚙ Parámetros'!D18/(1+2^(-'⚙ Parámetros'!C18*(S104-'⚙ Parámetros'!B18))),'⚙ Parámetros'!G18/(1+2^(-'⚙ Parámetros'!F18*(S104-'⚙ Parámetros'!E18))),1)*S104+20/100*MAX('⚙ Parámetros'!D18/(1+2^(-'⚙ Parámetros'!C18*(T104-'⚙ Parámetros'!B18))),'⚙ Parámetros'!G18/(1+2^(-'⚙ Parámetros'!F18*(T104-'⚙ Parámetros'!E18))),1)*T104+20/100*MAX('⚙ Parámetros'!D18/(1+2^(-'⚙ Parámetros'!C18*(U104-'⚙ Parámetros'!B18))),'⚙ Parámetros'!G18/(1+2^(-'⚙ Parámetros'!F18*(U104-'⚙ Parámetros'!E18))),1)*U104)/(30/100*MAX('⚙ Parámetros'!D18/(1+2^(-'⚙ Parámetros'!C18*(R104-'⚙ Parámetros'!B18))),'⚙ Parámetros'!G18/(1+2^(-'⚙ Parámetros'!F18*(R104-'⚙ Parámetros'!E18))),1)+30/100*MAX('⚙ Parámetros'!D18/(1+2^(-'⚙ Parámetros'!C18*(S104-'⚙ Parámetros'!B18))),'⚙ Parámetros'!G18/(1+2^(-'⚙ Parámetros'!F18*(S104-'⚙ Parámetros'!E18))),1)+20/100*MAX('⚙ Parámetros'!D18/(1+2^(-'⚙ Parámetros'!C18*(T104-'⚙ Parámetros'!B18))),'⚙ Parámetros'!G18/(1+2^(-'⚙ Parámetros'!F18*(T104-'⚙ Parámetros'!E18))),1)+20/100*MAX('⚙ Parámetros'!D18/(1+2^(-'⚙ Parámetros'!C18*(U104-'⚙ Parámetros'!B18))),'⚙ Parámetros'!G18/(1+2^(-'⚙ Parámetros'!F18*(U104-'⚙ Parámetros'!E18))),1)),0)</f>
        <v>5</v>
      </c>
      <c r="AF104" s="89">
        <f>IFERROR((30/100*MAX('⚙ Parámetros'!D19/(1+2^(-'⚙ Parámetros'!C19*(V104-'⚙ Parámetros'!B19))),'⚙ Parámetros'!G19/(1+2^(-'⚙ Parámetros'!F19*(V104-'⚙ Parámetros'!E19))),1)*V104+35/100*MAX('⚙ Parámetros'!D19/(1+2^(-'⚙ Parámetros'!C19*(W104-'⚙ Parámetros'!B19))),'⚙ Parámetros'!G19/(1+2^(-'⚙ Parámetros'!F19*(W104-'⚙ Parámetros'!E19))),1)*W104+35/100*MAX('⚙ Parámetros'!D19/(1+2^(-'⚙ Parámetros'!C19*(X104-'⚙ Parámetros'!B19))),'⚙ Parámetros'!G19/(1+2^(-'⚙ Parámetros'!F19*(X104-'⚙ Parámetros'!E19))),1)*X104)/(30/100*MAX('⚙ Parámetros'!D19/(1+2^(-'⚙ Parámetros'!C19*(V104-'⚙ Parámetros'!B19))),'⚙ Parámetros'!G19/(1+2^(-'⚙ Parámetros'!F19*(V104-'⚙ Parámetros'!E19))),1)+35/100*MAX('⚙ Parámetros'!D19/(1+2^(-'⚙ Parámetros'!C19*(W104-'⚙ Parámetros'!B19))),'⚙ Parámetros'!G19/(1+2^(-'⚙ Parámetros'!F19*(W104-'⚙ Parámetros'!E19))),1)+35/100*MAX('⚙ Parámetros'!D19/(1+2^(-'⚙ Parámetros'!C19*(X104-'⚙ Parámetros'!B19))),'⚙ Parámetros'!G19/(1+2^(-'⚙ Parámetros'!F19*(X104-'⚙ Parámetros'!E19))),1)),0)</f>
        <v>5.7368421052631575</v>
      </c>
      <c r="AG104" s="89">
        <f>IFERROR((35/100*MAX('⚙ Parámetros'!D20/(1+2^(-'⚙ Parámetros'!C20*(Y104-'⚙ Parámetros'!B20))),'⚙ Parámetros'!G20/(1+2^(-'⚙ Parámetros'!F20*(Y104-'⚙ Parámetros'!E20))),1)*Y104+35/100*MAX('⚙ Parámetros'!D20/(1+2^(-'⚙ Parámetros'!C20*(Z104-'⚙ Parámetros'!B20))),'⚙ Parámetros'!G20/(1+2^(-'⚙ Parámetros'!F20*(Z104-'⚙ Parámetros'!E20))),1)*Z104+30/100*MAX('⚙ Parámetros'!D20/(1+2^(-'⚙ Parámetros'!C20*(AA104-'⚙ Parámetros'!B20))),'⚙ Parámetros'!G20/(1+2^(-'⚙ Parámetros'!F20*(AA104-'⚙ Parámetros'!E20))),1)*AA104)/(35/100*MAX('⚙ Parámetros'!D20/(1+2^(-'⚙ Parámetros'!C20*(Y104-'⚙ Parámetros'!B20))),'⚙ Parámetros'!G20/(1+2^(-'⚙ Parámetros'!F20*(Y104-'⚙ Parámetros'!E20))),1)+35/100*MAX('⚙ Parámetros'!D20/(1+2^(-'⚙ Parámetros'!C20*(Z104-'⚙ Parámetros'!B20))),'⚙ Parámetros'!G20/(1+2^(-'⚙ Parámetros'!F20*(Z104-'⚙ Parámetros'!E20))),1)+30/100*MAX('⚙ Parámetros'!D20/(1+2^(-'⚙ Parámetros'!C20*(AA104-'⚙ Parámetros'!B20))),'⚙ Parámetros'!G20/(1+2^(-'⚙ Parámetros'!F20*(AA104-'⚙ Parámetros'!E20))),1)),0)</f>
        <v>3.7272727272727275</v>
      </c>
      <c r="AH104" s="90">
        <f>('⚙ Parámetros'!B5/100*AB104+'⚙ Parámetros'!B6/100*AC104+'⚙ Parámetros'!B7/100*AD104+'⚙ Parámetros'!B8/100*AE104+'⚙ Parámetros'!B9/100*AF104+'⚙ Parámetros'!B10/100*AG104)</f>
        <v>2.8918660287081344</v>
      </c>
      <c r="AI104" s="91">
        <f ca="1">MIN(1+MAX(0,TODAY()-DATE(2026,2,2))/365*'⚙ Parámetros'!B33,'⚙ Parámetros'!B34)</f>
        <v>1.0534246575342465</v>
      </c>
      <c r="AJ104" s="82">
        <f t="shared" ca="1" si="6"/>
        <v>3.046362980926788</v>
      </c>
      <c r="AK104" s="92" t="str">
        <f ca="1">IF(AB104&gt;='⚙ Parámetros'!B23,"⚑ AUTO-PRIOR.(D1≥8)",IF(AJ104&gt;='⚙ Parámetros'!B23,"PRIORITARIO",IF(AJ104&gt;='⚙ Parámetros'!B24,"ALTA PRIORIDAD",IF(AJ104&gt;='⚙ Parámetros'!B25,"PRIORIDAD MEDIA",IF(AJ104&gt;='⚙ Parámetros'!B26,"BAJA PRIORIDAD","DESCARTAR")))))</f>
        <v>DESCARTAR</v>
      </c>
      <c r="AL104" s="69" t="str">
        <f t="shared" si="7"/>
        <v>—</v>
      </c>
      <c r="AM104" s="85">
        <v>36</v>
      </c>
      <c r="AN104" s="83" t="str">
        <f>IF(AM104="","—",IF(AM104&lt;'⚙ Parámetros'!B29,"🟢 Corto",IF(AM104&lt;'⚙ Parámetros'!B30,"🟡 Medio","🔴 Largo")))</f>
        <v>🟡 Medio</v>
      </c>
    </row>
    <row r="105" spans="1:40" ht="18.75" customHeight="1" x14ac:dyDescent="0.25">
      <c r="A105" s="69">
        <v>101</v>
      </c>
      <c r="B105" s="70" t="s">
        <v>329</v>
      </c>
      <c r="C105" s="4" t="s">
        <v>147</v>
      </c>
      <c r="D105" s="71" t="s">
        <v>139</v>
      </c>
      <c r="E105" s="72" t="s">
        <v>330</v>
      </c>
      <c r="F105" s="74">
        <v>1</v>
      </c>
      <c r="G105" s="74">
        <v>1</v>
      </c>
      <c r="H105" s="74">
        <v>1</v>
      </c>
      <c r="I105" s="74">
        <v>1</v>
      </c>
      <c r="J105" s="74">
        <v>1</v>
      </c>
      <c r="K105" s="74">
        <v>1</v>
      </c>
      <c r="L105" s="74">
        <v>1</v>
      </c>
      <c r="M105" s="73">
        <v>3</v>
      </c>
      <c r="N105" s="74">
        <v>1</v>
      </c>
      <c r="O105" s="74">
        <v>1</v>
      </c>
      <c r="P105" s="74">
        <v>1</v>
      </c>
      <c r="Q105" s="74">
        <v>1</v>
      </c>
      <c r="R105" s="76">
        <v>9</v>
      </c>
      <c r="S105" s="76">
        <v>9</v>
      </c>
      <c r="T105" s="73">
        <v>5</v>
      </c>
      <c r="U105" s="73">
        <v>5</v>
      </c>
      <c r="V105" s="77">
        <v>8</v>
      </c>
      <c r="W105" s="73">
        <v>6</v>
      </c>
      <c r="X105" s="77">
        <v>9</v>
      </c>
      <c r="Y105" s="73">
        <v>4</v>
      </c>
      <c r="Z105" s="74">
        <v>2</v>
      </c>
      <c r="AA105" s="73">
        <v>5</v>
      </c>
      <c r="AB105" s="80">
        <f>IFERROR((30/100*MAX('⚙ Parámetros'!D15/(1+2^(-'⚙ Parámetros'!C15*(F105-'⚙ Parámetros'!B15))),'⚙ Parámetros'!G15/(1+2^(-'⚙ Parámetros'!F15*(F105-'⚙ Parámetros'!E15))),1)*F105+30/100*MAX('⚙ Parámetros'!D15/(1+2^(-'⚙ Parámetros'!C15*(G105-'⚙ Parámetros'!B15))),'⚙ Parámetros'!G15/(1+2^(-'⚙ Parámetros'!F15*(G105-'⚙ Parámetros'!E15))),1)*G105+20/100*MAX('⚙ Parámetros'!D15/(1+2^(-'⚙ Parámetros'!C15*(H105-'⚙ Parámetros'!B15))),'⚙ Parámetros'!G15/(1+2^(-'⚙ Parámetros'!F15*(H105-'⚙ Parámetros'!E15))),1)*H105+20/100*MAX('⚙ Parámetros'!D15/(1+2^(-'⚙ Parámetros'!C15*(I105-'⚙ Parámetros'!B15))),'⚙ Parámetros'!G15/(1+2^(-'⚙ Parámetros'!F15*(I105-'⚙ Parámetros'!E15))),1)*I105)/(30/100*MAX('⚙ Parámetros'!D15/(1+2^(-'⚙ Parámetros'!C15*(F105-'⚙ Parámetros'!B15))),'⚙ Parámetros'!G15/(1+2^(-'⚙ Parámetros'!F15*(F105-'⚙ Parámetros'!E15))),1)+30/100*MAX('⚙ Parámetros'!D15/(1+2^(-'⚙ Parámetros'!C15*(G105-'⚙ Parámetros'!B15))),'⚙ Parámetros'!G15/(1+2^(-'⚙ Parámetros'!F15*(G105-'⚙ Parámetros'!E15))),1)+20/100*MAX('⚙ Parámetros'!D15/(1+2^(-'⚙ Parámetros'!C15*(H105-'⚙ Parámetros'!B15))),'⚙ Parámetros'!G15/(1+2^(-'⚙ Parámetros'!F15*(H105-'⚙ Parámetros'!E15))),1)+20/100*MAX('⚙ Parámetros'!D15/(1+2^(-'⚙ Parámetros'!C15*(I105-'⚙ Parámetros'!B15))),'⚙ Parámetros'!G15/(1+2^(-'⚙ Parámetros'!F15*(I105-'⚙ Parámetros'!E15))),1)),0)</f>
        <v>1</v>
      </c>
      <c r="AC105" s="80">
        <f>IFERROR((35/100*MAX('⚙ Parámetros'!D16/(1+2^(-'⚙ Parámetros'!C16*(J105-'⚙ Parámetros'!B16))),'⚙ Parámetros'!G16/(1+2^(-'⚙ Parámetros'!F16*(J105-'⚙ Parámetros'!E16))),1)*J105+25/100*MAX('⚙ Parámetros'!D16/(1+2^(-'⚙ Parámetros'!C16*(K105-'⚙ Parámetros'!B16))),'⚙ Parámetros'!G16/(1+2^(-'⚙ Parámetros'!F16*(K105-'⚙ Parámetros'!E16))),1)*K105+20/100*MAX('⚙ Parámetros'!D16/(1+2^(-'⚙ Parámetros'!C16*(L105-'⚙ Parámetros'!B16))),'⚙ Parámetros'!G16/(1+2^(-'⚙ Parámetros'!F16*(L105-'⚙ Parámetros'!E16))),1)*L105+20/100*MAX('⚙ Parámetros'!D16/(1+2^(-'⚙ Parámetros'!C16*(M105-'⚙ Parámetros'!B16))),'⚙ Parámetros'!G16/(1+2^(-'⚙ Parámetros'!F16*(M105-'⚙ Parámetros'!E16))),1)*M105)/(35/100*MAX('⚙ Parámetros'!D16/(1+2^(-'⚙ Parámetros'!C16*(J105-'⚙ Parámetros'!B16))),'⚙ Parámetros'!G16/(1+2^(-'⚙ Parámetros'!F16*(J105-'⚙ Parámetros'!E16))),1)+25/100*MAX('⚙ Parámetros'!D16/(1+2^(-'⚙ Parámetros'!C16*(K105-'⚙ Parámetros'!B16))),'⚙ Parámetros'!G16/(1+2^(-'⚙ Parámetros'!F16*(K105-'⚙ Parámetros'!E16))),1)+20/100*MAX('⚙ Parámetros'!D16/(1+2^(-'⚙ Parámetros'!C16*(L105-'⚙ Parámetros'!B16))),'⚙ Parámetros'!G16/(1+2^(-'⚙ Parámetros'!F16*(L105-'⚙ Parámetros'!E16))),1)+20/100*MAX('⚙ Parámetros'!D16/(1+2^(-'⚙ Parámetros'!C16*(M105-'⚙ Parámetros'!B16))),'⚙ Parámetros'!G16/(1+2^(-'⚙ Parámetros'!F16*(M105-'⚙ Parámetros'!E16))),1)),0)</f>
        <v>1.4000000000000001</v>
      </c>
      <c r="AD105" s="80">
        <f>IFERROR((30/100*MAX('⚙ Parámetros'!D17/(1+2^(-'⚙ Parámetros'!C17*(N105-'⚙ Parámetros'!B17))),'⚙ Parámetros'!G17/(1+2^(-'⚙ Parámetros'!F17*(N105-'⚙ Parámetros'!E17))),1)*N105+25/100*MAX('⚙ Parámetros'!D17/(1+2^(-'⚙ Parámetros'!C17*(O105-'⚙ Parámetros'!B17))),'⚙ Parámetros'!G17/(1+2^(-'⚙ Parámetros'!F17*(O105-'⚙ Parámetros'!E17))),1)*O105+25/100*MAX('⚙ Parámetros'!D17/(1+2^(-'⚙ Parámetros'!C17*(P105-'⚙ Parámetros'!B17))),'⚙ Parámetros'!G17/(1+2^(-'⚙ Parámetros'!F17*(P105-'⚙ Parámetros'!E17))),1)*P105+20/100*MAX('⚙ Parámetros'!D17/(1+2^(-'⚙ Parámetros'!C17*(Q105-'⚙ Parámetros'!B17))),'⚙ Parámetros'!G17/(1+2^(-'⚙ Parámetros'!F17*(Q105-'⚙ Parámetros'!E17))),1)*Q105)/(30/100*MAX('⚙ Parámetros'!D17/(1+2^(-'⚙ Parámetros'!C17*(N105-'⚙ Parámetros'!B17))),'⚙ Parámetros'!G17/(1+2^(-'⚙ Parámetros'!F17*(N105-'⚙ Parámetros'!E17))),1)+25/100*MAX('⚙ Parámetros'!D17/(1+2^(-'⚙ Parámetros'!C17*(O105-'⚙ Parámetros'!B17))),'⚙ Parámetros'!G17/(1+2^(-'⚙ Parámetros'!F17*(O105-'⚙ Parámetros'!E17))),1)+25/100*MAX('⚙ Parámetros'!D17/(1+2^(-'⚙ Parámetros'!C17*(P105-'⚙ Parámetros'!B17))),'⚙ Parámetros'!G17/(1+2^(-'⚙ Parámetros'!F17*(P105-'⚙ Parámetros'!E17))),1)+20/100*MAX('⚙ Parámetros'!D17/(1+2^(-'⚙ Parámetros'!C17*(Q105-'⚙ Parámetros'!B17))),'⚙ Parámetros'!G17/(1+2^(-'⚙ Parámetros'!F17*(Q105-'⚙ Parámetros'!E17))),1)),0)</f>
        <v>1</v>
      </c>
      <c r="AE105" s="80">
        <f>IFERROR((30/100*MAX('⚙ Parámetros'!D18/(1+2^(-'⚙ Parámetros'!C18*(R105-'⚙ Parámetros'!B18))),'⚙ Parámetros'!G18/(1+2^(-'⚙ Parámetros'!F18*(R105-'⚙ Parámetros'!E18))),1)*R105+30/100*MAX('⚙ Parámetros'!D18/(1+2^(-'⚙ Parámetros'!C18*(S105-'⚙ Parámetros'!B18))),'⚙ Parámetros'!G18/(1+2^(-'⚙ Parámetros'!F18*(S105-'⚙ Parámetros'!E18))),1)*S105+20/100*MAX('⚙ Parámetros'!D18/(1+2^(-'⚙ Parámetros'!C18*(T105-'⚙ Parámetros'!B18))),'⚙ Parámetros'!G18/(1+2^(-'⚙ Parámetros'!F18*(T105-'⚙ Parámetros'!E18))),1)*T105+20/100*MAX('⚙ Parámetros'!D18/(1+2^(-'⚙ Parámetros'!C18*(U105-'⚙ Parámetros'!B18))),'⚙ Parámetros'!G18/(1+2^(-'⚙ Parámetros'!F18*(U105-'⚙ Parámetros'!E18))),1)*U105)/(30/100*MAX('⚙ Parámetros'!D18/(1+2^(-'⚙ Parámetros'!C18*(R105-'⚙ Parámetros'!B18))),'⚙ Parámetros'!G18/(1+2^(-'⚙ Parámetros'!F18*(R105-'⚙ Parámetros'!E18))),1)+30/100*MAX('⚙ Parámetros'!D18/(1+2^(-'⚙ Parámetros'!C18*(S105-'⚙ Parámetros'!B18))),'⚙ Parámetros'!G18/(1+2^(-'⚙ Parámetros'!F18*(S105-'⚙ Parámetros'!E18))),1)+20/100*MAX('⚙ Parámetros'!D18/(1+2^(-'⚙ Parámetros'!C18*(T105-'⚙ Parámetros'!B18))),'⚙ Parámetros'!G18/(1+2^(-'⚙ Parámetros'!F18*(T105-'⚙ Parámetros'!E18))),1)+20/100*MAX('⚙ Parámetros'!D18/(1+2^(-'⚙ Parámetros'!C18*(U105-'⚙ Parámetros'!B18))),'⚙ Parámetros'!G18/(1+2^(-'⚙ Parámetros'!F18*(U105-'⚙ Parámetros'!E18))),1)),0)</f>
        <v>8.1801060365339655</v>
      </c>
      <c r="AF105" s="80">
        <f>IFERROR((30/100*MAX('⚙ Parámetros'!D19/(1+2^(-'⚙ Parámetros'!C19*(V105-'⚙ Parámetros'!B19))),'⚙ Parámetros'!G19/(1+2^(-'⚙ Parámetros'!F19*(V105-'⚙ Parámetros'!E19))),1)*V105+35/100*MAX('⚙ Parámetros'!D19/(1+2^(-'⚙ Parámetros'!C19*(W105-'⚙ Parámetros'!B19))),'⚙ Parámetros'!G19/(1+2^(-'⚙ Parámetros'!F19*(W105-'⚙ Parámetros'!E19))),1)*W105+35/100*MAX('⚙ Parámetros'!D19/(1+2^(-'⚙ Parámetros'!C19*(X105-'⚙ Parámetros'!B19))),'⚙ Parámetros'!G19/(1+2^(-'⚙ Parámetros'!F19*(X105-'⚙ Parámetros'!E19))),1)*X105)/(30/100*MAX('⚙ Parámetros'!D19/(1+2^(-'⚙ Parámetros'!C19*(V105-'⚙ Parámetros'!B19))),'⚙ Parámetros'!G19/(1+2^(-'⚙ Parámetros'!F19*(V105-'⚙ Parámetros'!E19))),1)+35/100*MAX('⚙ Parámetros'!D19/(1+2^(-'⚙ Parámetros'!C19*(W105-'⚙ Parámetros'!B19))),'⚙ Parámetros'!G19/(1+2^(-'⚙ Parámetros'!F19*(W105-'⚙ Parámetros'!E19))),1)+35/100*MAX('⚙ Parámetros'!D19/(1+2^(-'⚙ Parámetros'!C19*(X105-'⚙ Parámetros'!B19))),'⚙ Parámetros'!G19/(1+2^(-'⚙ Parámetros'!F19*(X105-'⚙ Parámetros'!E19))),1)),0)</f>
        <v>8.0351483057098907</v>
      </c>
      <c r="AG105" s="80">
        <f>IFERROR((35/100*MAX('⚙ Parámetros'!D20/(1+2^(-'⚙ Parámetros'!C20*(Y105-'⚙ Parámetros'!B20))),'⚙ Parámetros'!G20/(1+2^(-'⚙ Parámetros'!F20*(Y105-'⚙ Parámetros'!E20))),1)*Y105+35/100*MAX('⚙ Parámetros'!D20/(1+2^(-'⚙ Parámetros'!C20*(Z105-'⚙ Parámetros'!B20))),'⚙ Parámetros'!G20/(1+2^(-'⚙ Parámetros'!F20*(Z105-'⚙ Parámetros'!E20))),1)*Z105+30/100*MAX('⚙ Parámetros'!D20/(1+2^(-'⚙ Parámetros'!C20*(AA105-'⚙ Parámetros'!B20))),'⚙ Parámetros'!G20/(1+2^(-'⚙ Parámetros'!F20*(AA105-'⚙ Parámetros'!E20))),1)*AA105)/(35/100*MAX('⚙ Parámetros'!D20/(1+2^(-'⚙ Parámetros'!C20*(Y105-'⚙ Parámetros'!B20))),'⚙ Parámetros'!G20/(1+2^(-'⚙ Parámetros'!F20*(Y105-'⚙ Parámetros'!E20))),1)+35/100*MAX('⚙ Parámetros'!D20/(1+2^(-'⚙ Parámetros'!C20*(Z105-'⚙ Parámetros'!B20))),'⚙ Parámetros'!G20/(1+2^(-'⚙ Parámetros'!F20*(Z105-'⚙ Parámetros'!E20))),1)+30/100*MAX('⚙ Parámetros'!D20/(1+2^(-'⚙ Parámetros'!C20*(AA105-'⚙ Parámetros'!B20))),'⚙ Parámetros'!G20/(1+2^(-'⚙ Parámetros'!F20*(AA105-'⚙ Parámetros'!E20))),1)),0)</f>
        <v>3.7272727272727275</v>
      </c>
      <c r="AH105" s="81">
        <f>('⚙ Parámetros'!B5/100*AB105+'⚙ Parámetros'!B6/100*AC105+'⚙ Parámetros'!B7/100*AD105+'⚙ Parámetros'!B8/100*AE105+'⚙ Parámetros'!B9/100*AF105+'⚙ Parámetros'!B10/100*AG105)</f>
        <v>2.8633093731368833</v>
      </c>
      <c r="AI105" s="33">
        <f ca="1">MIN(1+MAX(0,TODAY()-DATE(2026,5,4))/365*'⚙ Parámetros'!B33,'⚙ Parámetros'!B34)</f>
        <v>1.016027397260274</v>
      </c>
      <c r="AJ105" s="82">
        <f t="shared" ca="1" si="6"/>
        <v>2.9092007699392144</v>
      </c>
      <c r="AK105" s="83" t="str">
        <f ca="1">IF(AB105&gt;='⚙ Parámetros'!B23,"⚑ AUTO-PRIOR.(D1≥8)",IF(AJ105&gt;='⚙ Parámetros'!B23,"PRIORITARIO",IF(AJ105&gt;='⚙ Parámetros'!B24,"ALTA PRIORIDAD",IF(AJ105&gt;='⚙ Parámetros'!B25,"PRIORIDAD MEDIA",IF(AJ105&gt;='⚙ Parámetros'!B26,"BAJA PRIORIDAD","DESCARTAR")))))</f>
        <v>DESCARTAR</v>
      </c>
      <c r="AL105" s="84" t="str">
        <f t="shared" si="7"/>
        <v>—</v>
      </c>
      <c r="AM105" s="85">
        <v>42</v>
      </c>
      <c r="AN105" s="83" t="str">
        <f>IF(AM105="","—",IF(AM105&lt;'⚙ Parámetros'!B29,"🟢 Corto",IF(AM105&lt;'⚙ Parámetros'!B30,"🟡 Medio","🔴 Largo")))</f>
        <v>🟡 Medio</v>
      </c>
    </row>
    <row r="106" spans="1:40" ht="18.75" customHeight="1" x14ac:dyDescent="0.25">
      <c r="A106" s="69">
        <v>102</v>
      </c>
      <c r="B106" s="30" t="s">
        <v>331</v>
      </c>
      <c r="C106" s="26" t="s">
        <v>147</v>
      </c>
      <c r="D106" s="71" t="s">
        <v>139</v>
      </c>
      <c r="E106" s="72" t="s">
        <v>140</v>
      </c>
      <c r="F106" s="74">
        <v>1</v>
      </c>
      <c r="G106" s="74">
        <v>1</v>
      </c>
      <c r="H106" s="74">
        <v>1</v>
      </c>
      <c r="I106" s="74">
        <v>1</v>
      </c>
      <c r="J106" s="74">
        <v>1</v>
      </c>
      <c r="K106" s="74">
        <v>1</v>
      </c>
      <c r="L106" s="74">
        <v>1</v>
      </c>
      <c r="M106" s="86">
        <v>3</v>
      </c>
      <c r="N106" s="74">
        <v>1</v>
      </c>
      <c r="O106" s="74">
        <v>1</v>
      </c>
      <c r="P106" s="74">
        <v>1</v>
      </c>
      <c r="Q106" s="74">
        <v>1</v>
      </c>
      <c r="R106" s="76">
        <v>9</v>
      </c>
      <c r="S106" s="76">
        <v>9</v>
      </c>
      <c r="T106" s="86">
        <v>5</v>
      </c>
      <c r="U106" s="86">
        <v>5</v>
      </c>
      <c r="V106" s="77">
        <v>8</v>
      </c>
      <c r="W106" s="86">
        <v>6</v>
      </c>
      <c r="X106" s="77">
        <v>9</v>
      </c>
      <c r="Y106" s="86">
        <v>4</v>
      </c>
      <c r="Z106" s="74">
        <v>2</v>
      </c>
      <c r="AA106" s="86">
        <v>5</v>
      </c>
      <c r="AB106" s="89">
        <f>IFERROR((30/100*MAX('⚙ Parámetros'!D15/(1+2^(-'⚙ Parámetros'!C15*(F106-'⚙ Parámetros'!B15))),'⚙ Parámetros'!G15/(1+2^(-'⚙ Parámetros'!F15*(F106-'⚙ Parámetros'!E15))),1)*F106+30/100*MAX('⚙ Parámetros'!D15/(1+2^(-'⚙ Parámetros'!C15*(G106-'⚙ Parámetros'!B15))),'⚙ Parámetros'!G15/(1+2^(-'⚙ Parámetros'!F15*(G106-'⚙ Parámetros'!E15))),1)*G106+20/100*MAX('⚙ Parámetros'!D15/(1+2^(-'⚙ Parámetros'!C15*(H106-'⚙ Parámetros'!B15))),'⚙ Parámetros'!G15/(1+2^(-'⚙ Parámetros'!F15*(H106-'⚙ Parámetros'!E15))),1)*H106+20/100*MAX('⚙ Parámetros'!D15/(1+2^(-'⚙ Parámetros'!C15*(I106-'⚙ Parámetros'!B15))),'⚙ Parámetros'!G15/(1+2^(-'⚙ Parámetros'!F15*(I106-'⚙ Parámetros'!E15))),1)*I106)/(30/100*MAX('⚙ Parámetros'!D15/(1+2^(-'⚙ Parámetros'!C15*(F106-'⚙ Parámetros'!B15))),'⚙ Parámetros'!G15/(1+2^(-'⚙ Parámetros'!F15*(F106-'⚙ Parámetros'!E15))),1)+30/100*MAX('⚙ Parámetros'!D15/(1+2^(-'⚙ Parámetros'!C15*(G106-'⚙ Parámetros'!B15))),'⚙ Parámetros'!G15/(1+2^(-'⚙ Parámetros'!F15*(G106-'⚙ Parámetros'!E15))),1)+20/100*MAX('⚙ Parámetros'!D15/(1+2^(-'⚙ Parámetros'!C15*(H106-'⚙ Parámetros'!B15))),'⚙ Parámetros'!G15/(1+2^(-'⚙ Parámetros'!F15*(H106-'⚙ Parámetros'!E15))),1)+20/100*MAX('⚙ Parámetros'!D15/(1+2^(-'⚙ Parámetros'!C15*(I106-'⚙ Parámetros'!B15))),'⚙ Parámetros'!G15/(1+2^(-'⚙ Parámetros'!F15*(I106-'⚙ Parámetros'!E15))),1)),0)</f>
        <v>1</v>
      </c>
      <c r="AC106" s="89">
        <f>IFERROR((35/100*MAX('⚙ Parámetros'!D16/(1+2^(-'⚙ Parámetros'!C16*(J106-'⚙ Parámetros'!B16))),'⚙ Parámetros'!G16/(1+2^(-'⚙ Parámetros'!F16*(J106-'⚙ Parámetros'!E16))),1)*J106+25/100*MAX('⚙ Parámetros'!D16/(1+2^(-'⚙ Parámetros'!C16*(K106-'⚙ Parámetros'!B16))),'⚙ Parámetros'!G16/(1+2^(-'⚙ Parámetros'!F16*(K106-'⚙ Parámetros'!E16))),1)*K106+20/100*MAX('⚙ Parámetros'!D16/(1+2^(-'⚙ Parámetros'!C16*(L106-'⚙ Parámetros'!B16))),'⚙ Parámetros'!G16/(1+2^(-'⚙ Parámetros'!F16*(L106-'⚙ Parámetros'!E16))),1)*L106+20/100*MAX('⚙ Parámetros'!D16/(1+2^(-'⚙ Parámetros'!C16*(M106-'⚙ Parámetros'!B16))),'⚙ Parámetros'!G16/(1+2^(-'⚙ Parámetros'!F16*(M106-'⚙ Parámetros'!E16))),1)*M106)/(35/100*MAX('⚙ Parámetros'!D16/(1+2^(-'⚙ Parámetros'!C16*(J106-'⚙ Parámetros'!B16))),'⚙ Parámetros'!G16/(1+2^(-'⚙ Parámetros'!F16*(J106-'⚙ Parámetros'!E16))),1)+25/100*MAX('⚙ Parámetros'!D16/(1+2^(-'⚙ Parámetros'!C16*(K106-'⚙ Parámetros'!B16))),'⚙ Parámetros'!G16/(1+2^(-'⚙ Parámetros'!F16*(K106-'⚙ Parámetros'!E16))),1)+20/100*MAX('⚙ Parámetros'!D16/(1+2^(-'⚙ Parámetros'!C16*(L106-'⚙ Parámetros'!B16))),'⚙ Parámetros'!G16/(1+2^(-'⚙ Parámetros'!F16*(L106-'⚙ Parámetros'!E16))),1)+20/100*MAX('⚙ Parámetros'!D16/(1+2^(-'⚙ Parámetros'!C16*(M106-'⚙ Parámetros'!B16))),'⚙ Parámetros'!G16/(1+2^(-'⚙ Parámetros'!F16*(M106-'⚙ Parámetros'!E16))),1)),0)</f>
        <v>1.4000000000000001</v>
      </c>
      <c r="AD106" s="89">
        <f>IFERROR((30/100*MAX('⚙ Parámetros'!D17/(1+2^(-'⚙ Parámetros'!C17*(N106-'⚙ Parámetros'!B17))),'⚙ Parámetros'!G17/(1+2^(-'⚙ Parámetros'!F17*(N106-'⚙ Parámetros'!E17))),1)*N106+25/100*MAX('⚙ Parámetros'!D17/(1+2^(-'⚙ Parámetros'!C17*(O106-'⚙ Parámetros'!B17))),'⚙ Parámetros'!G17/(1+2^(-'⚙ Parámetros'!F17*(O106-'⚙ Parámetros'!E17))),1)*O106+25/100*MAX('⚙ Parámetros'!D17/(1+2^(-'⚙ Parámetros'!C17*(P106-'⚙ Parámetros'!B17))),'⚙ Parámetros'!G17/(1+2^(-'⚙ Parámetros'!F17*(P106-'⚙ Parámetros'!E17))),1)*P106+20/100*MAX('⚙ Parámetros'!D17/(1+2^(-'⚙ Parámetros'!C17*(Q106-'⚙ Parámetros'!B17))),'⚙ Parámetros'!G17/(1+2^(-'⚙ Parámetros'!F17*(Q106-'⚙ Parámetros'!E17))),1)*Q106)/(30/100*MAX('⚙ Parámetros'!D17/(1+2^(-'⚙ Parámetros'!C17*(N106-'⚙ Parámetros'!B17))),'⚙ Parámetros'!G17/(1+2^(-'⚙ Parámetros'!F17*(N106-'⚙ Parámetros'!E17))),1)+25/100*MAX('⚙ Parámetros'!D17/(1+2^(-'⚙ Parámetros'!C17*(O106-'⚙ Parámetros'!B17))),'⚙ Parámetros'!G17/(1+2^(-'⚙ Parámetros'!F17*(O106-'⚙ Parámetros'!E17))),1)+25/100*MAX('⚙ Parámetros'!D17/(1+2^(-'⚙ Parámetros'!C17*(P106-'⚙ Parámetros'!B17))),'⚙ Parámetros'!G17/(1+2^(-'⚙ Parámetros'!F17*(P106-'⚙ Parámetros'!E17))),1)+20/100*MAX('⚙ Parámetros'!D17/(1+2^(-'⚙ Parámetros'!C17*(Q106-'⚙ Parámetros'!B17))),'⚙ Parámetros'!G17/(1+2^(-'⚙ Parámetros'!F17*(Q106-'⚙ Parámetros'!E17))),1)),0)</f>
        <v>1</v>
      </c>
      <c r="AE106" s="89">
        <f>IFERROR((30/100*MAX('⚙ Parámetros'!D18/(1+2^(-'⚙ Parámetros'!C18*(R106-'⚙ Parámetros'!B18))),'⚙ Parámetros'!G18/(1+2^(-'⚙ Parámetros'!F18*(R106-'⚙ Parámetros'!E18))),1)*R106+30/100*MAX('⚙ Parámetros'!D18/(1+2^(-'⚙ Parámetros'!C18*(S106-'⚙ Parámetros'!B18))),'⚙ Parámetros'!G18/(1+2^(-'⚙ Parámetros'!F18*(S106-'⚙ Parámetros'!E18))),1)*S106+20/100*MAX('⚙ Parámetros'!D18/(1+2^(-'⚙ Parámetros'!C18*(T106-'⚙ Parámetros'!B18))),'⚙ Parámetros'!G18/(1+2^(-'⚙ Parámetros'!F18*(T106-'⚙ Parámetros'!E18))),1)*T106+20/100*MAX('⚙ Parámetros'!D18/(1+2^(-'⚙ Parámetros'!C18*(U106-'⚙ Parámetros'!B18))),'⚙ Parámetros'!G18/(1+2^(-'⚙ Parámetros'!F18*(U106-'⚙ Parámetros'!E18))),1)*U106)/(30/100*MAX('⚙ Parámetros'!D18/(1+2^(-'⚙ Parámetros'!C18*(R106-'⚙ Parámetros'!B18))),'⚙ Parámetros'!G18/(1+2^(-'⚙ Parámetros'!F18*(R106-'⚙ Parámetros'!E18))),1)+30/100*MAX('⚙ Parámetros'!D18/(1+2^(-'⚙ Parámetros'!C18*(S106-'⚙ Parámetros'!B18))),'⚙ Parámetros'!G18/(1+2^(-'⚙ Parámetros'!F18*(S106-'⚙ Parámetros'!E18))),1)+20/100*MAX('⚙ Parámetros'!D18/(1+2^(-'⚙ Parámetros'!C18*(T106-'⚙ Parámetros'!B18))),'⚙ Parámetros'!G18/(1+2^(-'⚙ Parámetros'!F18*(T106-'⚙ Parámetros'!E18))),1)+20/100*MAX('⚙ Parámetros'!D18/(1+2^(-'⚙ Parámetros'!C18*(U106-'⚙ Parámetros'!B18))),'⚙ Parámetros'!G18/(1+2^(-'⚙ Parámetros'!F18*(U106-'⚙ Parámetros'!E18))),1)),0)</f>
        <v>8.1801060365339655</v>
      </c>
      <c r="AF106" s="89">
        <f>IFERROR((30/100*MAX('⚙ Parámetros'!D19/(1+2^(-'⚙ Parámetros'!C19*(V106-'⚙ Parámetros'!B19))),'⚙ Parámetros'!G19/(1+2^(-'⚙ Parámetros'!F19*(V106-'⚙ Parámetros'!E19))),1)*V106+35/100*MAX('⚙ Parámetros'!D19/(1+2^(-'⚙ Parámetros'!C19*(W106-'⚙ Parámetros'!B19))),'⚙ Parámetros'!G19/(1+2^(-'⚙ Parámetros'!F19*(W106-'⚙ Parámetros'!E19))),1)*W106+35/100*MAX('⚙ Parámetros'!D19/(1+2^(-'⚙ Parámetros'!C19*(X106-'⚙ Parámetros'!B19))),'⚙ Parámetros'!G19/(1+2^(-'⚙ Parámetros'!F19*(X106-'⚙ Parámetros'!E19))),1)*X106)/(30/100*MAX('⚙ Parámetros'!D19/(1+2^(-'⚙ Parámetros'!C19*(V106-'⚙ Parámetros'!B19))),'⚙ Parámetros'!G19/(1+2^(-'⚙ Parámetros'!F19*(V106-'⚙ Parámetros'!E19))),1)+35/100*MAX('⚙ Parámetros'!D19/(1+2^(-'⚙ Parámetros'!C19*(W106-'⚙ Parámetros'!B19))),'⚙ Parámetros'!G19/(1+2^(-'⚙ Parámetros'!F19*(W106-'⚙ Parámetros'!E19))),1)+35/100*MAX('⚙ Parámetros'!D19/(1+2^(-'⚙ Parámetros'!C19*(X106-'⚙ Parámetros'!B19))),'⚙ Parámetros'!G19/(1+2^(-'⚙ Parámetros'!F19*(X106-'⚙ Parámetros'!E19))),1)),0)</f>
        <v>8.0351483057098907</v>
      </c>
      <c r="AG106" s="89">
        <f>IFERROR((35/100*MAX('⚙ Parámetros'!D20/(1+2^(-'⚙ Parámetros'!C20*(Y106-'⚙ Parámetros'!B20))),'⚙ Parámetros'!G20/(1+2^(-'⚙ Parámetros'!F20*(Y106-'⚙ Parámetros'!E20))),1)*Y106+35/100*MAX('⚙ Parámetros'!D20/(1+2^(-'⚙ Parámetros'!C20*(Z106-'⚙ Parámetros'!B20))),'⚙ Parámetros'!G20/(1+2^(-'⚙ Parámetros'!F20*(Z106-'⚙ Parámetros'!E20))),1)*Z106+30/100*MAX('⚙ Parámetros'!D20/(1+2^(-'⚙ Parámetros'!C20*(AA106-'⚙ Parámetros'!B20))),'⚙ Parámetros'!G20/(1+2^(-'⚙ Parámetros'!F20*(AA106-'⚙ Parámetros'!E20))),1)*AA106)/(35/100*MAX('⚙ Parámetros'!D20/(1+2^(-'⚙ Parámetros'!C20*(Y106-'⚙ Parámetros'!B20))),'⚙ Parámetros'!G20/(1+2^(-'⚙ Parámetros'!F20*(Y106-'⚙ Parámetros'!E20))),1)+35/100*MAX('⚙ Parámetros'!D20/(1+2^(-'⚙ Parámetros'!C20*(Z106-'⚙ Parámetros'!B20))),'⚙ Parámetros'!G20/(1+2^(-'⚙ Parámetros'!F20*(Z106-'⚙ Parámetros'!E20))),1)+30/100*MAX('⚙ Parámetros'!D20/(1+2^(-'⚙ Parámetros'!C20*(AA106-'⚙ Parámetros'!B20))),'⚙ Parámetros'!G20/(1+2^(-'⚙ Parámetros'!F20*(AA106-'⚙ Parámetros'!E20))),1)),0)</f>
        <v>3.7272727272727275</v>
      </c>
      <c r="AH106" s="90">
        <f>('⚙ Parámetros'!B5/100*AB106+'⚙ Parámetros'!B6/100*AC106+'⚙ Parámetros'!B7/100*AD106+'⚙ Parámetros'!B8/100*AE106+'⚙ Parámetros'!B9/100*AF106+'⚙ Parámetros'!B10/100*AG106)</f>
        <v>2.8633093731368833</v>
      </c>
      <c r="AI106" s="91">
        <f ca="1">MIN(1+MAX(0,TODAY()-DATE(2026,4,23))/365*'⚙ Parámetros'!B33,'⚙ Parámetros'!B34)</f>
        <v>1.0205479452054795</v>
      </c>
      <c r="AJ106" s="82">
        <f t="shared" ca="1" si="6"/>
        <v>2.922144497242436</v>
      </c>
      <c r="AK106" s="92" t="str">
        <f ca="1">IF(AB106&gt;='⚙ Parámetros'!B23,"⚑ AUTO-PRIOR.(D1≥8)",IF(AJ106&gt;='⚙ Parámetros'!B23,"PRIORITARIO",IF(AJ106&gt;='⚙ Parámetros'!B24,"ALTA PRIORIDAD",IF(AJ106&gt;='⚙ Parámetros'!B25,"PRIORIDAD MEDIA",IF(AJ106&gt;='⚙ Parámetros'!B26,"BAJA PRIORIDAD","DESCARTAR")))))</f>
        <v>DESCARTAR</v>
      </c>
      <c r="AL106" s="69" t="str">
        <f t="shared" si="7"/>
        <v>—</v>
      </c>
      <c r="AM106" s="85">
        <v>45</v>
      </c>
      <c r="AN106" s="83" t="str">
        <f>IF(AM106="","—",IF(AM106&lt;'⚙ Parámetros'!B29,"🟢 Corto",IF(AM106&lt;'⚙ Parámetros'!B30,"🟡 Medio","🔴 Largo")))</f>
        <v>🟡 Medio</v>
      </c>
    </row>
    <row r="107" spans="1:40" ht="18.75" customHeight="1" x14ac:dyDescent="0.25">
      <c r="A107" s="69">
        <v>103</v>
      </c>
      <c r="B107" s="70" t="s">
        <v>332</v>
      </c>
      <c r="C107" s="4" t="s">
        <v>135</v>
      </c>
      <c r="D107" s="71" t="s">
        <v>333</v>
      </c>
      <c r="E107" s="72" t="s">
        <v>334</v>
      </c>
      <c r="F107" s="74">
        <v>1</v>
      </c>
      <c r="G107" s="74">
        <v>1</v>
      </c>
      <c r="H107" s="74">
        <v>1</v>
      </c>
      <c r="I107" s="74">
        <v>1</v>
      </c>
      <c r="J107" s="74">
        <v>1</v>
      </c>
      <c r="K107" s="74">
        <v>1</v>
      </c>
      <c r="L107" s="74">
        <v>1</v>
      </c>
      <c r="M107" s="73">
        <v>3</v>
      </c>
      <c r="N107" s="74">
        <v>1</v>
      </c>
      <c r="O107" s="74">
        <v>1</v>
      </c>
      <c r="P107" s="74">
        <v>1</v>
      </c>
      <c r="Q107" s="74">
        <v>1</v>
      </c>
      <c r="R107" s="76">
        <v>9</v>
      </c>
      <c r="S107" s="76">
        <v>9</v>
      </c>
      <c r="T107" s="73">
        <v>5</v>
      </c>
      <c r="U107" s="73">
        <v>5</v>
      </c>
      <c r="V107" s="77">
        <v>8</v>
      </c>
      <c r="W107" s="73">
        <v>6</v>
      </c>
      <c r="X107" s="77">
        <v>9</v>
      </c>
      <c r="Y107" s="73">
        <v>4</v>
      </c>
      <c r="Z107" s="74">
        <v>2</v>
      </c>
      <c r="AA107" s="73">
        <v>5</v>
      </c>
      <c r="AB107" s="80">
        <f>IFERROR((30/100*MAX('⚙ Parámetros'!D15/(1+2^(-'⚙ Parámetros'!C15*(F107-'⚙ Parámetros'!B15))),'⚙ Parámetros'!G15/(1+2^(-'⚙ Parámetros'!F15*(F107-'⚙ Parámetros'!E15))),1)*F107+30/100*MAX('⚙ Parámetros'!D15/(1+2^(-'⚙ Parámetros'!C15*(G107-'⚙ Parámetros'!B15))),'⚙ Parámetros'!G15/(1+2^(-'⚙ Parámetros'!F15*(G107-'⚙ Parámetros'!E15))),1)*G107+20/100*MAX('⚙ Parámetros'!D15/(1+2^(-'⚙ Parámetros'!C15*(H107-'⚙ Parámetros'!B15))),'⚙ Parámetros'!G15/(1+2^(-'⚙ Parámetros'!F15*(H107-'⚙ Parámetros'!E15))),1)*H107+20/100*MAX('⚙ Parámetros'!D15/(1+2^(-'⚙ Parámetros'!C15*(I107-'⚙ Parámetros'!B15))),'⚙ Parámetros'!G15/(1+2^(-'⚙ Parámetros'!F15*(I107-'⚙ Parámetros'!E15))),1)*I107)/(30/100*MAX('⚙ Parámetros'!D15/(1+2^(-'⚙ Parámetros'!C15*(F107-'⚙ Parámetros'!B15))),'⚙ Parámetros'!G15/(1+2^(-'⚙ Parámetros'!F15*(F107-'⚙ Parámetros'!E15))),1)+30/100*MAX('⚙ Parámetros'!D15/(1+2^(-'⚙ Parámetros'!C15*(G107-'⚙ Parámetros'!B15))),'⚙ Parámetros'!G15/(1+2^(-'⚙ Parámetros'!F15*(G107-'⚙ Parámetros'!E15))),1)+20/100*MAX('⚙ Parámetros'!D15/(1+2^(-'⚙ Parámetros'!C15*(H107-'⚙ Parámetros'!B15))),'⚙ Parámetros'!G15/(1+2^(-'⚙ Parámetros'!F15*(H107-'⚙ Parámetros'!E15))),1)+20/100*MAX('⚙ Parámetros'!D15/(1+2^(-'⚙ Parámetros'!C15*(I107-'⚙ Parámetros'!B15))),'⚙ Parámetros'!G15/(1+2^(-'⚙ Parámetros'!F15*(I107-'⚙ Parámetros'!E15))),1)),0)</f>
        <v>1</v>
      </c>
      <c r="AC107" s="80">
        <f>IFERROR((35/100*MAX('⚙ Parámetros'!D16/(1+2^(-'⚙ Parámetros'!C16*(J107-'⚙ Parámetros'!B16))),'⚙ Parámetros'!G16/(1+2^(-'⚙ Parámetros'!F16*(J107-'⚙ Parámetros'!E16))),1)*J107+25/100*MAX('⚙ Parámetros'!D16/(1+2^(-'⚙ Parámetros'!C16*(K107-'⚙ Parámetros'!B16))),'⚙ Parámetros'!G16/(1+2^(-'⚙ Parámetros'!F16*(K107-'⚙ Parámetros'!E16))),1)*K107+20/100*MAX('⚙ Parámetros'!D16/(1+2^(-'⚙ Parámetros'!C16*(L107-'⚙ Parámetros'!B16))),'⚙ Parámetros'!G16/(1+2^(-'⚙ Parámetros'!F16*(L107-'⚙ Parámetros'!E16))),1)*L107+20/100*MAX('⚙ Parámetros'!D16/(1+2^(-'⚙ Parámetros'!C16*(M107-'⚙ Parámetros'!B16))),'⚙ Parámetros'!G16/(1+2^(-'⚙ Parámetros'!F16*(M107-'⚙ Parámetros'!E16))),1)*M107)/(35/100*MAX('⚙ Parámetros'!D16/(1+2^(-'⚙ Parámetros'!C16*(J107-'⚙ Parámetros'!B16))),'⚙ Parámetros'!G16/(1+2^(-'⚙ Parámetros'!F16*(J107-'⚙ Parámetros'!E16))),1)+25/100*MAX('⚙ Parámetros'!D16/(1+2^(-'⚙ Parámetros'!C16*(K107-'⚙ Parámetros'!B16))),'⚙ Parámetros'!G16/(1+2^(-'⚙ Parámetros'!F16*(K107-'⚙ Parámetros'!E16))),1)+20/100*MAX('⚙ Parámetros'!D16/(1+2^(-'⚙ Parámetros'!C16*(L107-'⚙ Parámetros'!B16))),'⚙ Parámetros'!G16/(1+2^(-'⚙ Parámetros'!F16*(L107-'⚙ Parámetros'!E16))),1)+20/100*MAX('⚙ Parámetros'!D16/(1+2^(-'⚙ Parámetros'!C16*(M107-'⚙ Parámetros'!B16))),'⚙ Parámetros'!G16/(1+2^(-'⚙ Parámetros'!F16*(M107-'⚙ Parámetros'!E16))),1)),0)</f>
        <v>1.4000000000000001</v>
      </c>
      <c r="AD107" s="80">
        <f>IFERROR((30/100*MAX('⚙ Parámetros'!D17/(1+2^(-'⚙ Parámetros'!C17*(N107-'⚙ Parámetros'!B17))),'⚙ Parámetros'!G17/(1+2^(-'⚙ Parámetros'!F17*(N107-'⚙ Parámetros'!E17))),1)*N107+25/100*MAX('⚙ Parámetros'!D17/(1+2^(-'⚙ Parámetros'!C17*(O107-'⚙ Parámetros'!B17))),'⚙ Parámetros'!G17/(1+2^(-'⚙ Parámetros'!F17*(O107-'⚙ Parámetros'!E17))),1)*O107+25/100*MAX('⚙ Parámetros'!D17/(1+2^(-'⚙ Parámetros'!C17*(P107-'⚙ Parámetros'!B17))),'⚙ Parámetros'!G17/(1+2^(-'⚙ Parámetros'!F17*(P107-'⚙ Parámetros'!E17))),1)*P107+20/100*MAX('⚙ Parámetros'!D17/(1+2^(-'⚙ Parámetros'!C17*(Q107-'⚙ Parámetros'!B17))),'⚙ Parámetros'!G17/(1+2^(-'⚙ Parámetros'!F17*(Q107-'⚙ Parámetros'!E17))),1)*Q107)/(30/100*MAX('⚙ Parámetros'!D17/(1+2^(-'⚙ Parámetros'!C17*(N107-'⚙ Parámetros'!B17))),'⚙ Parámetros'!G17/(1+2^(-'⚙ Parámetros'!F17*(N107-'⚙ Parámetros'!E17))),1)+25/100*MAX('⚙ Parámetros'!D17/(1+2^(-'⚙ Parámetros'!C17*(O107-'⚙ Parámetros'!B17))),'⚙ Parámetros'!G17/(1+2^(-'⚙ Parámetros'!F17*(O107-'⚙ Parámetros'!E17))),1)+25/100*MAX('⚙ Parámetros'!D17/(1+2^(-'⚙ Parámetros'!C17*(P107-'⚙ Parámetros'!B17))),'⚙ Parámetros'!G17/(1+2^(-'⚙ Parámetros'!F17*(P107-'⚙ Parámetros'!E17))),1)+20/100*MAX('⚙ Parámetros'!D17/(1+2^(-'⚙ Parámetros'!C17*(Q107-'⚙ Parámetros'!B17))),'⚙ Parámetros'!G17/(1+2^(-'⚙ Parámetros'!F17*(Q107-'⚙ Parámetros'!E17))),1)),0)</f>
        <v>1</v>
      </c>
      <c r="AE107" s="80">
        <f>IFERROR((30/100*MAX('⚙ Parámetros'!D18/(1+2^(-'⚙ Parámetros'!C18*(R107-'⚙ Parámetros'!B18))),'⚙ Parámetros'!G18/(1+2^(-'⚙ Parámetros'!F18*(R107-'⚙ Parámetros'!E18))),1)*R107+30/100*MAX('⚙ Parámetros'!D18/(1+2^(-'⚙ Parámetros'!C18*(S107-'⚙ Parámetros'!B18))),'⚙ Parámetros'!G18/(1+2^(-'⚙ Parámetros'!F18*(S107-'⚙ Parámetros'!E18))),1)*S107+20/100*MAX('⚙ Parámetros'!D18/(1+2^(-'⚙ Parámetros'!C18*(T107-'⚙ Parámetros'!B18))),'⚙ Parámetros'!G18/(1+2^(-'⚙ Parámetros'!F18*(T107-'⚙ Parámetros'!E18))),1)*T107+20/100*MAX('⚙ Parámetros'!D18/(1+2^(-'⚙ Parámetros'!C18*(U107-'⚙ Parámetros'!B18))),'⚙ Parámetros'!G18/(1+2^(-'⚙ Parámetros'!F18*(U107-'⚙ Parámetros'!E18))),1)*U107)/(30/100*MAX('⚙ Parámetros'!D18/(1+2^(-'⚙ Parámetros'!C18*(R107-'⚙ Parámetros'!B18))),'⚙ Parámetros'!G18/(1+2^(-'⚙ Parámetros'!F18*(R107-'⚙ Parámetros'!E18))),1)+30/100*MAX('⚙ Parámetros'!D18/(1+2^(-'⚙ Parámetros'!C18*(S107-'⚙ Parámetros'!B18))),'⚙ Parámetros'!G18/(1+2^(-'⚙ Parámetros'!F18*(S107-'⚙ Parámetros'!E18))),1)+20/100*MAX('⚙ Parámetros'!D18/(1+2^(-'⚙ Parámetros'!C18*(T107-'⚙ Parámetros'!B18))),'⚙ Parámetros'!G18/(1+2^(-'⚙ Parámetros'!F18*(T107-'⚙ Parámetros'!E18))),1)+20/100*MAX('⚙ Parámetros'!D18/(1+2^(-'⚙ Parámetros'!C18*(U107-'⚙ Parámetros'!B18))),'⚙ Parámetros'!G18/(1+2^(-'⚙ Parámetros'!F18*(U107-'⚙ Parámetros'!E18))),1)),0)</f>
        <v>8.1801060365339655</v>
      </c>
      <c r="AF107" s="80">
        <f>IFERROR((30/100*MAX('⚙ Parámetros'!D19/(1+2^(-'⚙ Parámetros'!C19*(V107-'⚙ Parámetros'!B19))),'⚙ Parámetros'!G19/(1+2^(-'⚙ Parámetros'!F19*(V107-'⚙ Parámetros'!E19))),1)*V107+35/100*MAX('⚙ Parámetros'!D19/(1+2^(-'⚙ Parámetros'!C19*(W107-'⚙ Parámetros'!B19))),'⚙ Parámetros'!G19/(1+2^(-'⚙ Parámetros'!F19*(W107-'⚙ Parámetros'!E19))),1)*W107+35/100*MAX('⚙ Parámetros'!D19/(1+2^(-'⚙ Parámetros'!C19*(X107-'⚙ Parámetros'!B19))),'⚙ Parámetros'!G19/(1+2^(-'⚙ Parámetros'!F19*(X107-'⚙ Parámetros'!E19))),1)*X107)/(30/100*MAX('⚙ Parámetros'!D19/(1+2^(-'⚙ Parámetros'!C19*(V107-'⚙ Parámetros'!B19))),'⚙ Parámetros'!G19/(1+2^(-'⚙ Parámetros'!F19*(V107-'⚙ Parámetros'!E19))),1)+35/100*MAX('⚙ Parámetros'!D19/(1+2^(-'⚙ Parámetros'!C19*(W107-'⚙ Parámetros'!B19))),'⚙ Parámetros'!G19/(1+2^(-'⚙ Parámetros'!F19*(W107-'⚙ Parámetros'!E19))),1)+35/100*MAX('⚙ Parámetros'!D19/(1+2^(-'⚙ Parámetros'!C19*(X107-'⚙ Parámetros'!B19))),'⚙ Parámetros'!G19/(1+2^(-'⚙ Parámetros'!F19*(X107-'⚙ Parámetros'!E19))),1)),0)</f>
        <v>8.0351483057098907</v>
      </c>
      <c r="AG107" s="80">
        <f>IFERROR((35/100*MAX('⚙ Parámetros'!D20/(1+2^(-'⚙ Parámetros'!C20*(Y107-'⚙ Parámetros'!B20))),'⚙ Parámetros'!G20/(1+2^(-'⚙ Parámetros'!F20*(Y107-'⚙ Parámetros'!E20))),1)*Y107+35/100*MAX('⚙ Parámetros'!D20/(1+2^(-'⚙ Parámetros'!C20*(Z107-'⚙ Parámetros'!B20))),'⚙ Parámetros'!G20/(1+2^(-'⚙ Parámetros'!F20*(Z107-'⚙ Parámetros'!E20))),1)*Z107+30/100*MAX('⚙ Parámetros'!D20/(1+2^(-'⚙ Parámetros'!C20*(AA107-'⚙ Parámetros'!B20))),'⚙ Parámetros'!G20/(1+2^(-'⚙ Parámetros'!F20*(AA107-'⚙ Parámetros'!E20))),1)*AA107)/(35/100*MAX('⚙ Parámetros'!D20/(1+2^(-'⚙ Parámetros'!C20*(Y107-'⚙ Parámetros'!B20))),'⚙ Parámetros'!G20/(1+2^(-'⚙ Parámetros'!F20*(Y107-'⚙ Parámetros'!E20))),1)+35/100*MAX('⚙ Parámetros'!D20/(1+2^(-'⚙ Parámetros'!C20*(Z107-'⚙ Parámetros'!B20))),'⚙ Parámetros'!G20/(1+2^(-'⚙ Parámetros'!F20*(Z107-'⚙ Parámetros'!E20))),1)+30/100*MAX('⚙ Parámetros'!D20/(1+2^(-'⚙ Parámetros'!C20*(AA107-'⚙ Parámetros'!B20))),'⚙ Parámetros'!G20/(1+2^(-'⚙ Parámetros'!F20*(AA107-'⚙ Parámetros'!E20))),1)),0)</f>
        <v>3.7272727272727275</v>
      </c>
      <c r="AH107" s="81">
        <f>('⚙ Parámetros'!B5/100*AB107+'⚙ Parámetros'!B6/100*AC107+'⚙ Parámetros'!B7/100*AD107+'⚙ Parámetros'!B8/100*AE107+'⚙ Parámetros'!B9/100*AF107+'⚙ Parámetros'!B10/100*AG107)</f>
        <v>2.8633093731368833</v>
      </c>
      <c r="AI107" s="33">
        <f ca="1">MIN(1+MAX(0,TODAY()-DATE(2026,3,16))/365*'⚙ Parámetros'!B33,'⚙ Parámetros'!B34)</f>
        <v>1.0361643835616439</v>
      </c>
      <c r="AJ107" s="82">
        <f t="shared" ca="1" si="6"/>
        <v>2.9668591915626554</v>
      </c>
      <c r="AK107" s="83" t="str">
        <f ca="1">IF(AB107&gt;='⚙ Parámetros'!B23,"⚑ AUTO-PRIOR.(D1≥8)",IF(AJ107&gt;='⚙ Parámetros'!B23,"PRIORITARIO",IF(AJ107&gt;='⚙ Parámetros'!B24,"ALTA PRIORIDAD",IF(AJ107&gt;='⚙ Parámetros'!B25,"PRIORIDAD MEDIA",IF(AJ107&gt;='⚙ Parámetros'!B26,"BAJA PRIORIDAD","DESCARTAR")))))</f>
        <v>DESCARTAR</v>
      </c>
      <c r="AL107" s="84" t="str">
        <f t="shared" si="7"/>
        <v>—</v>
      </c>
      <c r="AM107" s="85">
        <v>39</v>
      </c>
      <c r="AN107" s="83" t="str">
        <f>IF(AM107="","—",IF(AM107&lt;'⚙ Parámetros'!B29,"🟢 Corto",IF(AM107&lt;'⚙ Parámetros'!B30,"🟡 Medio","🔴 Largo")))</f>
        <v>🟡 Medio</v>
      </c>
    </row>
    <row r="108" spans="1:40" ht="18.75" customHeight="1" x14ac:dyDescent="0.25">
      <c r="A108" s="69">
        <v>104</v>
      </c>
      <c r="B108" s="30" t="s">
        <v>335</v>
      </c>
      <c r="C108" s="26" t="s">
        <v>271</v>
      </c>
      <c r="D108" s="71" t="s">
        <v>336</v>
      </c>
      <c r="E108" s="72" t="s">
        <v>269</v>
      </c>
      <c r="F108" s="74">
        <v>1</v>
      </c>
      <c r="G108" s="74">
        <v>1</v>
      </c>
      <c r="H108" s="74">
        <v>1</v>
      </c>
      <c r="I108" s="74">
        <v>1</v>
      </c>
      <c r="J108" s="74">
        <v>1</v>
      </c>
      <c r="K108" s="74">
        <v>1</v>
      </c>
      <c r="L108" s="74">
        <v>1</v>
      </c>
      <c r="M108" s="86">
        <v>3</v>
      </c>
      <c r="N108" s="74">
        <v>1</v>
      </c>
      <c r="O108" s="74">
        <v>1</v>
      </c>
      <c r="P108" s="74">
        <v>1</v>
      </c>
      <c r="Q108" s="74">
        <v>1</v>
      </c>
      <c r="R108" s="76">
        <v>9</v>
      </c>
      <c r="S108" s="76">
        <v>9</v>
      </c>
      <c r="T108" s="86">
        <v>5</v>
      </c>
      <c r="U108" s="86">
        <v>5</v>
      </c>
      <c r="V108" s="77">
        <v>8</v>
      </c>
      <c r="W108" s="86">
        <v>6</v>
      </c>
      <c r="X108" s="77">
        <v>9</v>
      </c>
      <c r="Y108" s="86">
        <v>4</v>
      </c>
      <c r="Z108" s="74">
        <v>2</v>
      </c>
      <c r="AA108" s="86">
        <v>5</v>
      </c>
      <c r="AB108" s="89">
        <f>IFERROR((30/100*MAX('⚙ Parámetros'!D15/(1+2^(-'⚙ Parámetros'!C15*(F108-'⚙ Parámetros'!B15))),'⚙ Parámetros'!G15/(1+2^(-'⚙ Parámetros'!F15*(F108-'⚙ Parámetros'!E15))),1)*F108+30/100*MAX('⚙ Parámetros'!D15/(1+2^(-'⚙ Parámetros'!C15*(G108-'⚙ Parámetros'!B15))),'⚙ Parámetros'!G15/(1+2^(-'⚙ Parámetros'!F15*(G108-'⚙ Parámetros'!E15))),1)*G108+20/100*MAX('⚙ Parámetros'!D15/(1+2^(-'⚙ Parámetros'!C15*(H108-'⚙ Parámetros'!B15))),'⚙ Parámetros'!G15/(1+2^(-'⚙ Parámetros'!F15*(H108-'⚙ Parámetros'!E15))),1)*H108+20/100*MAX('⚙ Parámetros'!D15/(1+2^(-'⚙ Parámetros'!C15*(I108-'⚙ Parámetros'!B15))),'⚙ Parámetros'!G15/(1+2^(-'⚙ Parámetros'!F15*(I108-'⚙ Parámetros'!E15))),1)*I108)/(30/100*MAX('⚙ Parámetros'!D15/(1+2^(-'⚙ Parámetros'!C15*(F108-'⚙ Parámetros'!B15))),'⚙ Parámetros'!G15/(1+2^(-'⚙ Parámetros'!F15*(F108-'⚙ Parámetros'!E15))),1)+30/100*MAX('⚙ Parámetros'!D15/(1+2^(-'⚙ Parámetros'!C15*(G108-'⚙ Parámetros'!B15))),'⚙ Parámetros'!G15/(1+2^(-'⚙ Parámetros'!F15*(G108-'⚙ Parámetros'!E15))),1)+20/100*MAX('⚙ Parámetros'!D15/(1+2^(-'⚙ Parámetros'!C15*(H108-'⚙ Parámetros'!B15))),'⚙ Parámetros'!G15/(1+2^(-'⚙ Parámetros'!F15*(H108-'⚙ Parámetros'!E15))),1)+20/100*MAX('⚙ Parámetros'!D15/(1+2^(-'⚙ Parámetros'!C15*(I108-'⚙ Parámetros'!B15))),'⚙ Parámetros'!G15/(1+2^(-'⚙ Parámetros'!F15*(I108-'⚙ Parámetros'!E15))),1)),0)</f>
        <v>1</v>
      </c>
      <c r="AC108" s="89">
        <f>IFERROR((35/100*MAX('⚙ Parámetros'!D16/(1+2^(-'⚙ Parámetros'!C16*(J108-'⚙ Parámetros'!B16))),'⚙ Parámetros'!G16/(1+2^(-'⚙ Parámetros'!F16*(J108-'⚙ Parámetros'!E16))),1)*J108+25/100*MAX('⚙ Parámetros'!D16/(1+2^(-'⚙ Parámetros'!C16*(K108-'⚙ Parámetros'!B16))),'⚙ Parámetros'!G16/(1+2^(-'⚙ Parámetros'!F16*(K108-'⚙ Parámetros'!E16))),1)*K108+20/100*MAX('⚙ Parámetros'!D16/(1+2^(-'⚙ Parámetros'!C16*(L108-'⚙ Parámetros'!B16))),'⚙ Parámetros'!G16/(1+2^(-'⚙ Parámetros'!F16*(L108-'⚙ Parámetros'!E16))),1)*L108+20/100*MAX('⚙ Parámetros'!D16/(1+2^(-'⚙ Parámetros'!C16*(M108-'⚙ Parámetros'!B16))),'⚙ Parámetros'!G16/(1+2^(-'⚙ Parámetros'!F16*(M108-'⚙ Parámetros'!E16))),1)*M108)/(35/100*MAX('⚙ Parámetros'!D16/(1+2^(-'⚙ Parámetros'!C16*(J108-'⚙ Parámetros'!B16))),'⚙ Parámetros'!G16/(1+2^(-'⚙ Parámetros'!F16*(J108-'⚙ Parámetros'!E16))),1)+25/100*MAX('⚙ Parámetros'!D16/(1+2^(-'⚙ Parámetros'!C16*(K108-'⚙ Parámetros'!B16))),'⚙ Parámetros'!G16/(1+2^(-'⚙ Parámetros'!F16*(K108-'⚙ Parámetros'!E16))),1)+20/100*MAX('⚙ Parámetros'!D16/(1+2^(-'⚙ Parámetros'!C16*(L108-'⚙ Parámetros'!B16))),'⚙ Parámetros'!G16/(1+2^(-'⚙ Parámetros'!F16*(L108-'⚙ Parámetros'!E16))),1)+20/100*MAX('⚙ Parámetros'!D16/(1+2^(-'⚙ Parámetros'!C16*(M108-'⚙ Parámetros'!B16))),'⚙ Parámetros'!G16/(1+2^(-'⚙ Parámetros'!F16*(M108-'⚙ Parámetros'!E16))),1)),0)</f>
        <v>1.4000000000000001</v>
      </c>
      <c r="AD108" s="89">
        <f>IFERROR((30/100*MAX('⚙ Parámetros'!D17/(1+2^(-'⚙ Parámetros'!C17*(N108-'⚙ Parámetros'!B17))),'⚙ Parámetros'!G17/(1+2^(-'⚙ Parámetros'!F17*(N108-'⚙ Parámetros'!E17))),1)*N108+25/100*MAX('⚙ Parámetros'!D17/(1+2^(-'⚙ Parámetros'!C17*(O108-'⚙ Parámetros'!B17))),'⚙ Parámetros'!G17/(1+2^(-'⚙ Parámetros'!F17*(O108-'⚙ Parámetros'!E17))),1)*O108+25/100*MAX('⚙ Parámetros'!D17/(1+2^(-'⚙ Parámetros'!C17*(P108-'⚙ Parámetros'!B17))),'⚙ Parámetros'!G17/(1+2^(-'⚙ Parámetros'!F17*(P108-'⚙ Parámetros'!E17))),1)*P108+20/100*MAX('⚙ Parámetros'!D17/(1+2^(-'⚙ Parámetros'!C17*(Q108-'⚙ Parámetros'!B17))),'⚙ Parámetros'!G17/(1+2^(-'⚙ Parámetros'!F17*(Q108-'⚙ Parámetros'!E17))),1)*Q108)/(30/100*MAX('⚙ Parámetros'!D17/(1+2^(-'⚙ Parámetros'!C17*(N108-'⚙ Parámetros'!B17))),'⚙ Parámetros'!G17/(1+2^(-'⚙ Parámetros'!F17*(N108-'⚙ Parámetros'!E17))),1)+25/100*MAX('⚙ Parámetros'!D17/(1+2^(-'⚙ Parámetros'!C17*(O108-'⚙ Parámetros'!B17))),'⚙ Parámetros'!G17/(1+2^(-'⚙ Parámetros'!F17*(O108-'⚙ Parámetros'!E17))),1)+25/100*MAX('⚙ Parámetros'!D17/(1+2^(-'⚙ Parámetros'!C17*(P108-'⚙ Parámetros'!B17))),'⚙ Parámetros'!G17/(1+2^(-'⚙ Parámetros'!F17*(P108-'⚙ Parámetros'!E17))),1)+20/100*MAX('⚙ Parámetros'!D17/(1+2^(-'⚙ Parámetros'!C17*(Q108-'⚙ Parámetros'!B17))),'⚙ Parámetros'!G17/(1+2^(-'⚙ Parámetros'!F17*(Q108-'⚙ Parámetros'!E17))),1)),0)</f>
        <v>1</v>
      </c>
      <c r="AE108" s="89">
        <f>IFERROR((30/100*MAX('⚙ Parámetros'!D18/(1+2^(-'⚙ Parámetros'!C18*(R108-'⚙ Parámetros'!B18))),'⚙ Parámetros'!G18/(1+2^(-'⚙ Parámetros'!F18*(R108-'⚙ Parámetros'!E18))),1)*R108+30/100*MAX('⚙ Parámetros'!D18/(1+2^(-'⚙ Parámetros'!C18*(S108-'⚙ Parámetros'!B18))),'⚙ Parámetros'!G18/(1+2^(-'⚙ Parámetros'!F18*(S108-'⚙ Parámetros'!E18))),1)*S108+20/100*MAX('⚙ Parámetros'!D18/(1+2^(-'⚙ Parámetros'!C18*(T108-'⚙ Parámetros'!B18))),'⚙ Parámetros'!G18/(1+2^(-'⚙ Parámetros'!F18*(T108-'⚙ Parámetros'!E18))),1)*T108+20/100*MAX('⚙ Parámetros'!D18/(1+2^(-'⚙ Parámetros'!C18*(U108-'⚙ Parámetros'!B18))),'⚙ Parámetros'!G18/(1+2^(-'⚙ Parámetros'!F18*(U108-'⚙ Parámetros'!E18))),1)*U108)/(30/100*MAX('⚙ Parámetros'!D18/(1+2^(-'⚙ Parámetros'!C18*(R108-'⚙ Parámetros'!B18))),'⚙ Parámetros'!G18/(1+2^(-'⚙ Parámetros'!F18*(R108-'⚙ Parámetros'!E18))),1)+30/100*MAX('⚙ Parámetros'!D18/(1+2^(-'⚙ Parámetros'!C18*(S108-'⚙ Parámetros'!B18))),'⚙ Parámetros'!G18/(1+2^(-'⚙ Parámetros'!F18*(S108-'⚙ Parámetros'!E18))),1)+20/100*MAX('⚙ Parámetros'!D18/(1+2^(-'⚙ Parámetros'!C18*(T108-'⚙ Parámetros'!B18))),'⚙ Parámetros'!G18/(1+2^(-'⚙ Parámetros'!F18*(T108-'⚙ Parámetros'!E18))),1)+20/100*MAX('⚙ Parámetros'!D18/(1+2^(-'⚙ Parámetros'!C18*(U108-'⚙ Parámetros'!B18))),'⚙ Parámetros'!G18/(1+2^(-'⚙ Parámetros'!F18*(U108-'⚙ Parámetros'!E18))),1)),0)</f>
        <v>8.1801060365339655</v>
      </c>
      <c r="AF108" s="89">
        <f>IFERROR((30/100*MAX('⚙ Parámetros'!D19/(1+2^(-'⚙ Parámetros'!C19*(V108-'⚙ Parámetros'!B19))),'⚙ Parámetros'!G19/(1+2^(-'⚙ Parámetros'!F19*(V108-'⚙ Parámetros'!E19))),1)*V108+35/100*MAX('⚙ Parámetros'!D19/(1+2^(-'⚙ Parámetros'!C19*(W108-'⚙ Parámetros'!B19))),'⚙ Parámetros'!G19/(1+2^(-'⚙ Parámetros'!F19*(W108-'⚙ Parámetros'!E19))),1)*W108+35/100*MAX('⚙ Parámetros'!D19/(1+2^(-'⚙ Parámetros'!C19*(X108-'⚙ Parámetros'!B19))),'⚙ Parámetros'!G19/(1+2^(-'⚙ Parámetros'!F19*(X108-'⚙ Parámetros'!E19))),1)*X108)/(30/100*MAX('⚙ Parámetros'!D19/(1+2^(-'⚙ Parámetros'!C19*(V108-'⚙ Parámetros'!B19))),'⚙ Parámetros'!G19/(1+2^(-'⚙ Parámetros'!F19*(V108-'⚙ Parámetros'!E19))),1)+35/100*MAX('⚙ Parámetros'!D19/(1+2^(-'⚙ Parámetros'!C19*(W108-'⚙ Parámetros'!B19))),'⚙ Parámetros'!G19/(1+2^(-'⚙ Parámetros'!F19*(W108-'⚙ Parámetros'!E19))),1)+35/100*MAX('⚙ Parámetros'!D19/(1+2^(-'⚙ Parámetros'!C19*(X108-'⚙ Parámetros'!B19))),'⚙ Parámetros'!G19/(1+2^(-'⚙ Parámetros'!F19*(X108-'⚙ Parámetros'!E19))),1)),0)</f>
        <v>8.0351483057098907</v>
      </c>
      <c r="AG108" s="89">
        <f>IFERROR((35/100*MAX('⚙ Parámetros'!D20/(1+2^(-'⚙ Parámetros'!C20*(Y108-'⚙ Parámetros'!B20))),'⚙ Parámetros'!G20/(1+2^(-'⚙ Parámetros'!F20*(Y108-'⚙ Parámetros'!E20))),1)*Y108+35/100*MAX('⚙ Parámetros'!D20/(1+2^(-'⚙ Parámetros'!C20*(Z108-'⚙ Parámetros'!B20))),'⚙ Parámetros'!G20/(1+2^(-'⚙ Parámetros'!F20*(Z108-'⚙ Parámetros'!E20))),1)*Z108+30/100*MAX('⚙ Parámetros'!D20/(1+2^(-'⚙ Parámetros'!C20*(AA108-'⚙ Parámetros'!B20))),'⚙ Parámetros'!G20/(1+2^(-'⚙ Parámetros'!F20*(AA108-'⚙ Parámetros'!E20))),1)*AA108)/(35/100*MAX('⚙ Parámetros'!D20/(1+2^(-'⚙ Parámetros'!C20*(Y108-'⚙ Parámetros'!B20))),'⚙ Parámetros'!G20/(1+2^(-'⚙ Parámetros'!F20*(Y108-'⚙ Parámetros'!E20))),1)+35/100*MAX('⚙ Parámetros'!D20/(1+2^(-'⚙ Parámetros'!C20*(Z108-'⚙ Parámetros'!B20))),'⚙ Parámetros'!G20/(1+2^(-'⚙ Parámetros'!F20*(Z108-'⚙ Parámetros'!E20))),1)+30/100*MAX('⚙ Parámetros'!D20/(1+2^(-'⚙ Parámetros'!C20*(AA108-'⚙ Parámetros'!B20))),'⚙ Parámetros'!G20/(1+2^(-'⚙ Parámetros'!F20*(AA108-'⚙ Parámetros'!E20))),1)),0)</f>
        <v>3.7272727272727275</v>
      </c>
      <c r="AH108" s="90">
        <f>('⚙ Parámetros'!B5/100*AB108+'⚙ Parámetros'!B6/100*AC108+'⚙ Parámetros'!B7/100*AD108+'⚙ Parámetros'!B8/100*AE108+'⚙ Parámetros'!B9/100*AF108+'⚙ Parámetros'!B10/100*AG108)</f>
        <v>2.8633093731368833</v>
      </c>
      <c r="AI108" s="91">
        <f ca="1">MIN(1+MAX(0,TODAY()-DATE(2026,2,5))/365*'⚙ Parámetros'!B33,'⚙ Parámetros'!B34)</f>
        <v>1.0521917808219179</v>
      </c>
      <c r="AJ108" s="82">
        <f t="shared" ca="1" si="6"/>
        <v>3.0127505883649865</v>
      </c>
      <c r="AK108" s="92" t="str">
        <f ca="1">IF(AB108&gt;='⚙ Parámetros'!B23,"⚑ AUTO-PRIOR.(D1≥8)",IF(AJ108&gt;='⚙ Parámetros'!B23,"PRIORITARIO",IF(AJ108&gt;='⚙ Parámetros'!B24,"ALTA PRIORIDAD",IF(AJ108&gt;='⚙ Parámetros'!B25,"PRIORIDAD MEDIA",IF(AJ108&gt;='⚙ Parámetros'!B26,"BAJA PRIORIDAD","DESCARTAR")))))</f>
        <v>DESCARTAR</v>
      </c>
      <c r="AL108" s="69" t="str">
        <f t="shared" si="7"/>
        <v>—</v>
      </c>
      <c r="AM108" s="85">
        <v>31</v>
      </c>
      <c r="AN108" s="83" t="str">
        <f>IF(AM108="","—",IF(AM108&lt;'⚙ Parámetros'!B29,"🟢 Corto",IF(AM108&lt;'⚙ Parámetros'!B30,"🟡 Medio","🔴 Largo")))</f>
        <v>🟡 Medio</v>
      </c>
    </row>
    <row r="109" spans="1:40" ht="18.75" customHeight="1" x14ac:dyDescent="0.25">
      <c r="A109" s="69">
        <v>105</v>
      </c>
      <c r="B109" s="70" t="s">
        <v>337</v>
      </c>
      <c r="C109" s="4" t="s">
        <v>182</v>
      </c>
      <c r="D109" s="71" t="s">
        <v>139</v>
      </c>
      <c r="E109" s="72" t="s">
        <v>212</v>
      </c>
      <c r="F109" s="74">
        <v>1</v>
      </c>
      <c r="G109" s="74">
        <v>1</v>
      </c>
      <c r="H109" s="74">
        <v>1</v>
      </c>
      <c r="I109" s="74">
        <v>1</v>
      </c>
      <c r="J109" s="74">
        <v>1</v>
      </c>
      <c r="K109" s="74">
        <v>1</v>
      </c>
      <c r="L109" s="74">
        <v>1</v>
      </c>
      <c r="M109" s="73">
        <v>3</v>
      </c>
      <c r="N109" s="74">
        <v>1</v>
      </c>
      <c r="O109" s="74">
        <v>1</v>
      </c>
      <c r="P109" s="74">
        <v>1</v>
      </c>
      <c r="Q109" s="74">
        <v>1</v>
      </c>
      <c r="R109" s="76">
        <v>9</v>
      </c>
      <c r="S109" s="76">
        <v>9</v>
      </c>
      <c r="T109" s="73">
        <v>5</v>
      </c>
      <c r="U109" s="73">
        <v>5</v>
      </c>
      <c r="V109" s="77">
        <v>8</v>
      </c>
      <c r="W109" s="73">
        <v>6</v>
      </c>
      <c r="X109" s="77">
        <v>9</v>
      </c>
      <c r="Y109" s="73">
        <v>4</v>
      </c>
      <c r="Z109" s="74">
        <v>2</v>
      </c>
      <c r="AA109" s="73">
        <v>5</v>
      </c>
      <c r="AB109" s="80">
        <f>IFERROR((30/100*MAX('⚙ Parámetros'!D15/(1+2^(-'⚙ Parámetros'!C15*(F109-'⚙ Parámetros'!B15))),'⚙ Parámetros'!G15/(1+2^(-'⚙ Parámetros'!F15*(F109-'⚙ Parámetros'!E15))),1)*F109+30/100*MAX('⚙ Parámetros'!D15/(1+2^(-'⚙ Parámetros'!C15*(G109-'⚙ Parámetros'!B15))),'⚙ Parámetros'!G15/(1+2^(-'⚙ Parámetros'!F15*(G109-'⚙ Parámetros'!E15))),1)*G109+20/100*MAX('⚙ Parámetros'!D15/(1+2^(-'⚙ Parámetros'!C15*(H109-'⚙ Parámetros'!B15))),'⚙ Parámetros'!G15/(1+2^(-'⚙ Parámetros'!F15*(H109-'⚙ Parámetros'!E15))),1)*H109+20/100*MAX('⚙ Parámetros'!D15/(1+2^(-'⚙ Parámetros'!C15*(I109-'⚙ Parámetros'!B15))),'⚙ Parámetros'!G15/(1+2^(-'⚙ Parámetros'!F15*(I109-'⚙ Parámetros'!E15))),1)*I109)/(30/100*MAX('⚙ Parámetros'!D15/(1+2^(-'⚙ Parámetros'!C15*(F109-'⚙ Parámetros'!B15))),'⚙ Parámetros'!G15/(1+2^(-'⚙ Parámetros'!F15*(F109-'⚙ Parámetros'!E15))),1)+30/100*MAX('⚙ Parámetros'!D15/(1+2^(-'⚙ Parámetros'!C15*(G109-'⚙ Parámetros'!B15))),'⚙ Parámetros'!G15/(1+2^(-'⚙ Parámetros'!F15*(G109-'⚙ Parámetros'!E15))),1)+20/100*MAX('⚙ Parámetros'!D15/(1+2^(-'⚙ Parámetros'!C15*(H109-'⚙ Parámetros'!B15))),'⚙ Parámetros'!G15/(1+2^(-'⚙ Parámetros'!F15*(H109-'⚙ Parámetros'!E15))),1)+20/100*MAX('⚙ Parámetros'!D15/(1+2^(-'⚙ Parámetros'!C15*(I109-'⚙ Parámetros'!B15))),'⚙ Parámetros'!G15/(1+2^(-'⚙ Parámetros'!F15*(I109-'⚙ Parámetros'!E15))),1)),0)</f>
        <v>1</v>
      </c>
      <c r="AC109" s="80">
        <f>IFERROR((35/100*MAX('⚙ Parámetros'!D16/(1+2^(-'⚙ Parámetros'!C16*(J109-'⚙ Parámetros'!B16))),'⚙ Parámetros'!G16/(1+2^(-'⚙ Parámetros'!F16*(J109-'⚙ Parámetros'!E16))),1)*J109+25/100*MAX('⚙ Parámetros'!D16/(1+2^(-'⚙ Parámetros'!C16*(K109-'⚙ Parámetros'!B16))),'⚙ Parámetros'!G16/(1+2^(-'⚙ Parámetros'!F16*(K109-'⚙ Parámetros'!E16))),1)*K109+20/100*MAX('⚙ Parámetros'!D16/(1+2^(-'⚙ Parámetros'!C16*(L109-'⚙ Parámetros'!B16))),'⚙ Parámetros'!G16/(1+2^(-'⚙ Parámetros'!F16*(L109-'⚙ Parámetros'!E16))),1)*L109+20/100*MAX('⚙ Parámetros'!D16/(1+2^(-'⚙ Parámetros'!C16*(M109-'⚙ Parámetros'!B16))),'⚙ Parámetros'!G16/(1+2^(-'⚙ Parámetros'!F16*(M109-'⚙ Parámetros'!E16))),1)*M109)/(35/100*MAX('⚙ Parámetros'!D16/(1+2^(-'⚙ Parámetros'!C16*(J109-'⚙ Parámetros'!B16))),'⚙ Parámetros'!G16/(1+2^(-'⚙ Parámetros'!F16*(J109-'⚙ Parámetros'!E16))),1)+25/100*MAX('⚙ Parámetros'!D16/(1+2^(-'⚙ Parámetros'!C16*(K109-'⚙ Parámetros'!B16))),'⚙ Parámetros'!G16/(1+2^(-'⚙ Parámetros'!F16*(K109-'⚙ Parámetros'!E16))),1)+20/100*MAX('⚙ Parámetros'!D16/(1+2^(-'⚙ Parámetros'!C16*(L109-'⚙ Parámetros'!B16))),'⚙ Parámetros'!G16/(1+2^(-'⚙ Parámetros'!F16*(L109-'⚙ Parámetros'!E16))),1)+20/100*MAX('⚙ Parámetros'!D16/(1+2^(-'⚙ Parámetros'!C16*(M109-'⚙ Parámetros'!B16))),'⚙ Parámetros'!G16/(1+2^(-'⚙ Parámetros'!F16*(M109-'⚙ Parámetros'!E16))),1)),0)</f>
        <v>1.4000000000000001</v>
      </c>
      <c r="AD109" s="80">
        <f>IFERROR((30/100*MAX('⚙ Parámetros'!D17/(1+2^(-'⚙ Parámetros'!C17*(N109-'⚙ Parámetros'!B17))),'⚙ Parámetros'!G17/(1+2^(-'⚙ Parámetros'!F17*(N109-'⚙ Parámetros'!E17))),1)*N109+25/100*MAX('⚙ Parámetros'!D17/(1+2^(-'⚙ Parámetros'!C17*(O109-'⚙ Parámetros'!B17))),'⚙ Parámetros'!G17/(1+2^(-'⚙ Parámetros'!F17*(O109-'⚙ Parámetros'!E17))),1)*O109+25/100*MAX('⚙ Parámetros'!D17/(1+2^(-'⚙ Parámetros'!C17*(P109-'⚙ Parámetros'!B17))),'⚙ Parámetros'!G17/(1+2^(-'⚙ Parámetros'!F17*(P109-'⚙ Parámetros'!E17))),1)*P109+20/100*MAX('⚙ Parámetros'!D17/(1+2^(-'⚙ Parámetros'!C17*(Q109-'⚙ Parámetros'!B17))),'⚙ Parámetros'!G17/(1+2^(-'⚙ Parámetros'!F17*(Q109-'⚙ Parámetros'!E17))),1)*Q109)/(30/100*MAX('⚙ Parámetros'!D17/(1+2^(-'⚙ Parámetros'!C17*(N109-'⚙ Parámetros'!B17))),'⚙ Parámetros'!G17/(1+2^(-'⚙ Parámetros'!F17*(N109-'⚙ Parámetros'!E17))),1)+25/100*MAX('⚙ Parámetros'!D17/(1+2^(-'⚙ Parámetros'!C17*(O109-'⚙ Parámetros'!B17))),'⚙ Parámetros'!G17/(1+2^(-'⚙ Parámetros'!F17*(O109-'⚙ Parámetros'!E17))),1)+25/100*MAX('⚙ Parámetros'!D17/(1+2^(-'⚙ Parámetros'!C17*(P109-'⚙ Parámetros'!B17))),'⚙ Parámetros'!G17/(1+2^(-'⚙ Parámetros'!F17*(P109-'⚙ Parámetros'!E17))),1)+20/100*MAX('⚙ Parámetros'!D17/(1+2^(-'⚙ Parámetros'!C17*(Q109-'⚙ Parámetros'!B17))),'⚙ Parámetros'!G17/(1+2^(-'⚙ Parámetros'!F17*(Q109-'⚙ Parámetros'!E17))),1)),0)</f>
        <v>1</v>
      </c>
      <c r="AE109" s="80">
        <f>IFERROR((30/100*MAX('⚙ Parámetros'!D18/(1+2^(-'⚙ Parámetros'!C18*(R109-'⚙ Parámetros'!B18))),'⚙ Parámetros'!G18/(1+2^(-'⚙ Parámetros'!F18*(R109-'⚙ Parámetros'!E18))),1)*R109+30/100*MAX('⚙ Parámetros'!D18/(1+2^(-'⚙ Parámetros'!C18*(S109-'⚙ Parámetros'!B18))),'⚙ Parámetros'!G18/(1+2^(-'⚙ Parámetros'!F18*(S109-'⚙ Parámetros'!E18))),1)*S109+20/100*MAX('⚙ Parámetros'!D18/(1+2^(-'⚙ Parámetros'!C18*(T109-'⚙ Parámetros'!B18))),'⚙ Parámetros'!G18/(1+2^(-'⚙ Parámetros'!F18*(T109-'⚙ Parámetros'!E18))),1)*T109+20/100*MAX('⚙ Parámetros'!D18/(1+2^(-'⚙ Parámetros'!C18*(U109-'⚙ Parámetros'!B18))),'⚙ Parámetros'!G18/(1+2^(-'⚙ Parámetros'!F18*(U109-'⚙ Parámetros'!E18))),1)*U109)/(30/100*MAX('⚙ Parámetros'!D18/(1+2^(-'⚙ Parámetros'!C18*(R109-'⚙ Parámetros'!B18))),'⚙ Parámetros'!G18/(1+2^(-'⚙ Parámetros'!F18*(R109-'⚙ Parámetros'!E18))),1)+30/100*MAX('⚙ Parámetros'!D18/(1+2^(-'⚙ Parámetros'!C18*(S109-'⚙ Parámetros'!B18))),'⚙ Parámetros'!G18/(1+2^(-'⚙ Parámetros'!F18*(S109-'⚙ Parámetros'!E18))),1)+20/100*MAX('⚙ Parámetros'!D18/(1+2^(-'⚙ Parámetros'!C18*(T109-'⚙ Parámetros'!B18))),'⚙ Parámetros'!G18/(1+2^(-'⚙ Parámetros'!F18*(T109-'⚙ Parámetros'!E18))),1)+20/100*MAX('⚙ Parámetros'!D18/(1+2^(-'⚙ Parámetros'!C18*(U109-'⚙ Parámetros'!B18))),'⚙ Parámetros'!G18/(1+2^(-'⚙ Parámetros'!F18*(U109-'⚙ Parámetros'!E18))),1)),0)</f>
        <v>8.1801060365339655</v>
      </c>
      <c r="AF109" s="80">
        <f>IFERROR((30/100*MAX('⚙ Parámetros'!D19/(1+2^(-'⚙ Parámetros'!C19*(V109-'⚙ Parámetros'!B19))),'⚙ Parámetros'!G19/(1+2^(-'⚙ Parámetros'!F19*(V109-'⚙ Parámetros'!E19))),1)*V109+35/100*MAX('⚙ Parámetros'!D19/(1+2^(-'⚙ Parámetros'!C19*(W109-'⚙ Parámetros'!B19))),'⚙ Parámetros'!G19/(1+2^(-'⚙ Parámetros'!F19*(W109-'⚙ Parámetros'!E19))),1)*W109+35/100*MAX('⚙ Parámetros'!D19/(1+2^(-'⚙ Parámetros'!C19*(X109-'⚙ Parámetros'!B19))),'⚙ Parámetros'!G19/(1+2^(-'⚙ Parámetros'!F19*(X109-'⚙ Parámetros'!E19))),1)*X109)/(30/100*MAX('⚙ Parámetros'!D19/(1+2^(-'⚙ Parámetros'!C19*(V109-'⚙ Parámetros'!B19))),'⚙ Parámetros'!G19/(1+2^(-'⚙ Parámetros'!F19*(V109-'⚙ Parámetros'!E19))),1)+35/100*MAX('⚙ Parámetros'!D19/(1+2^(-'⚙ Parámetros'!C19*(W109-'⚙ Parámetros'!B19))),'⚙ Parámetros'!G19/(1+2^(-'⚙ Parámetros'!F19*(W109-'⚙ Parámetros'!E19))),1)+35/100*MAX('⚙ Parámetros'!D19/(1+2^(-'⚙ Parámetros'!C19*(X109-'⚙ Parámetros'!B19))),'⚙ Parámetros'!G19/(1+2^(-'⚙ Parámetros'!F19*(X109-'⚙ Parámetros'!E19))),1)),0)</f>
        <v>8.0351483057098907</v>
      </c>
      <c r="AG109" s="80">
        <f>IFERROR((35/100*MAX('⚙ Parámetros'!D20/(1+2^(-'⚙ Parámetros'!C20*(Y109-'⚙ Parámetros'!B20))),'⚙ Parámetros'!G20/(1+2^(-'⚙ Parámetros'!F20*(Y109-'⚙ Parámetros'!E20))),1)*Y109+35/100*MAX('⚙ Parámetros'!D20/(1+2^(-'⚙ Parámetros'!C20*(Z109-'⚙ Parámetros'!B20))),'⚙ Parámetros'!G20/(1+2^(-'⚙ Parámetros'!F20*(Z109-'⚙ Parámetros'!E20))),1)*Z109+30/100*MAX('⚙ Parámetros'!D20/(1+2^(-'⚙ Parámetros'!C20*(AA109-'⚙ Parámetros'!B20))),'⚙ Parámetros'!G20/(1+2^(-'⚙ Parámetros'!F20*(AA109-'⚙ Parámetros'!E20))),1)*AA109)/(35/100*MAX('⚙ Parámetros'!D20/(1+2^(-'⚙ Parámetros'!C20*(Y109-'⚙ Parámetros'!B20))),'⚙ Parámetros'!G20/(1+2^(-'⚙ Parámetros'!F20*(Y109-'⚙ Parámetros'!E20))),1)+35/100*MAX('⚙ Parámetros'!D20/(1+2^(-'⚙ Parámetros'!C20*(Z109-'⚙ Parámetros'!B20))),'⚙ Parámetros'!G20/(1+2^(-'⚙ Parámetros'!F20*(Z109-'⚙ Parámetros'!E20))),1)+30/100*MAX('⚙ Parámetros'!D20/(1+2^(-'⚙ Parámetros'!C20*(AA109-'⚙ Parámetros'!B20))),'⚙ Parámetros'!G20/(1+2^(-'⚙ Parámetros'!F20*(AA109-'⚙ Parámetros'!E20))),1)),0)</f>
        <v>3.7272727272727275</v>
      </c>
      <c r="AH109" s="81">
        <f>('⚙ Parámetros'!B5/100*AB109+'⚙ Parámetros'!B6/100*AC109+'⚙ Parámetros'!B7/100*AD109+'⚙ Parámetros'!B8/100*AE109+'⚙ Parámetros'!B9/100*AF109+'⚙ Parámetros'!B10/100*AG109)</f>
        <v>2.8633093731368833</v>
      </c>
      <c r="AI109" s="33">
        <f ca="1">MIN(1+MAX(0,TODAY()-DATE(2026,2,4))/365*'⚙ Parámetros'!B33,'⚙ Parámetros'!B34)</f>
        <v>1.0526027397260274</v>
      </c>
      <c r="AJ109" s="82">
        <f t="shared" ca="1" si="6"/>
        <v>3.0139272908470973</v>
      </c>
      <c r="AK109" s="83" t="str">
        <f ca="1">IF(AB109&gt;='⚙ Parámetros'!B23,"⚑ AUTO-PRIOR.(D1≥8)",IF(AJ109&gt;='⚙ Parámetros'!B23,"PRIORITARIO",IF(AJ109&gt;='⚙ Parámetros'!B24,"ALTA PRIORIDAD",IF(AJ109&gt;='⚙ Parámetros'!B25,"PRIORIDAD MEDIA",IF(AJ109&gt;='⚙ Parámetros'!B26,"BAJA PRIORIDAD","DESCARTAR")))))</f>
        <v>DESCARTAR</v>
      </c>
      <c r="AL109" s="84" t="str">
        <f t="shared" si="7"/>
        <v>—</v>
      </c>
      <c r="AM109" s="85">
        <v>13</v>
      </c>
      <c r="AN109" s="83" t="str">
        <f>IF(AM109="","—",IF(AM109&lt;'⚙ Parámetros'!B29,"🟢 Corto",IF(AM109&lt;'⚙ Parámetros'!B30,"🟡 Medio","🔴 Largo")))</f>
        <v>🟢 Corto</v>
      </c>
    </row>
    <row r="110" spans="1:40" ht="18.75" customHeight="1" x14ac:dyDescent="0.25">
      <c r="A110" s="69">
        <v>106</v>
      </c>
      <c r="B110" s="30" t="s">
        <v>338</v>
      </c>
      <c r="C110" s="26" t="s">
        <v>142</v>
      </c>
      <c r="D110" s="71" t="s">
        <v>243</v>
      </c>
      <c r="E110" s="72" t="s">
        <v>339</v>
      </c>
      <c r="F110" s="74">
        <v>1</v>
      </c>
      <c r="G110" s="74">
        <v>1</v>
      </c>
      <c r="H110" s="74">
        <v>1</v>
      </c>
      <c r="I110" s="74">
        <v>1</v>
      </c>
      <c r="J110" s="74">
        <v>1</v>
      </c>
      <c r="K110" s="74">
        <v>1</v>
      </c>
      <c r="L110" s="74">
        <v>1</v>
      </c>
      <c r="M110" s="86">
        <v>3</v>
      </c>
      <c r="N110" s="74">
        <v>1</v>
      </c>
      <c r="O110" s="74">
        <v>1</v>
      </c>
      <c r="P110" s="74">
        <v>1</v>
      </c>
      <c r="Q110" s="74">
        <v>1</v>
      </c>
      <c r="R110" s="76">
        <v>9</v>
      </c>
      <c r="S110" s="76">
        <v>9</v>
      </c>
      <c r="T110" s="86">
        <v>5</v>
      </c>
      <c r="U110" s="86">
        <v>5</v>
      </c>
      <c r="V110" s="77">
        <v>8</v>
      </c>
      <c r="W110" s="86">
        <v>6</v>
      </c>
      <c r="X110" s="77">
        <v>9</v>
      </c>
      <c r="Y110" s="86">
        <v>4</v>
      </c>
      <c r="Z110" s="74">
        <v>2</v>
      </c>
      <c r="AA110" s="86">
        <v>5</v>
      </c>
      <c r="AB110" s="89">
        <f>IFERROR((30/100*MAX('⚙ Parámetros'!D15/(1+2^(-'⚙ Parámetros'!C15*(F110-'⚙ Parámetros'!B15))),'⚙ Parámetros'!G15/(1+2^(-'⚙ Parámetros'!F15*(F110-'⚙ Parámetros'!E15))),1)*F110+30/100*MAX('⚙ Parámetros'!D15/(1+2^(-'⚙ Parámetros'!C15*(G110-'⚙ Parámetros'!B15))),'⚙ Parámetros'!G15/(1+2^(-'⚙ Parámetros'!F15*(G110-'⚙ Parámetros'!E15))),1)*G110+20/100*MAX('⚙ Parámetros'!D15/(1+2^(-'⚙ Parámetros'!C15*(H110-'⚙ Parámetros'!B15))),'⚙ Parámetros'!G15/(1+2^(-'⚙ Parámetros'!F15*(H110-'⚙ Parámetros'!E15))),1)*H110+20/100*MAX('⚙ Parámetros'!D15/(1+2^(-'⚙ Parámetros'!C15*(I110-'⚙ Parámetros'!B15))),'⚙ Parámetros'!G15/(1+2^(-'⚙ Parámetros'!F15*(I110-'⚙ Parámetros'!E15))),1)*I110)/(30/100*MAX('⚙ Parámetros'!D15/(1+2^(-'⚙ Parámetros'!C15*(F110-'⚙ Parámetros'!B15))),'⚙ Parámetros'!G15/(1+2^(-'⚙ Parámetros'!F15*(F110-'⚙ Parámetros'!E15))),1)+30/100*MAX('⚙ Parámetros'!D15/(1+2^(-'⚙ Parámetros'!C15*(G110-'⚙ Parámetros'!B15))),'⚙ Parámetros'!G15/(1+2^(-'⚙ Parámetros'!F15*(G110-'⚙ Parámetros'!E15))),1)+20/100*MAX('⚙ Parámetros'!D15/(1+2^(-'⚙ Parámetros'!C15*(H110-'⚙ Parámetros'!B15))),'⚙ Parámetros'!G15/(1+2^(-'⚙ Parámetros'!F15*(H110-'⚙ Parámetros'!E15))),1)+20/100*MAX('⚙ Parámetros'!D15/(1+2^(-'⚙ Parámetros'!C15*(I110-'⚙ Parámetros'!B15))),'⚙ Parámetros'!G15/(1+2^(-'⚙ Parámetros'!F15*(I110-'⚙ Parámetros'!E15))),1)),0)</f>
        <v>1</v>
      </c>
      <c r="AC110" s="89">
        <f>IFERROR((35/100*MAX('⚙ Parámetros'!D16/(1+2^(-'⚙ Parámetros'!C16*(J110-'⚙ Parámetros'!B16))),'⚙ Parámetros'!G16/(1+2^(-'⚙ Parámetros'!F16*(J110-'⚙ Parámetros'!E16))),1)*J110+25/100*MAX('⚙ Parámetros'!D16/(1+2^(-'⚙ Parámetros'!C16*(K110-'⚙ Parámetros'!B16))),'⚙ Parámetros'!G16/(1+2^(-'⚙ Parámetros'!F16*(K110-'⚙ Parámetros'!E16))),1)*K110+20/100*MAX('⚙ Parámetros'!D16/(1+2^(-'⚙ Parámetros'!C16*(L110-'⚙ Parámetros'!B16))),'⚙ Parámetros'!G16/(1+2^(-'⚙ Parámetros'!F16*(L110-'⚙ Parámetros'!E16))),1)*L110+20/100*MAX('⚙ Parámetros'!D16/(1+2^(-'⚙ Parámetros'!C16*(M110-'⚙ Parámetros'!B16))),'⚙ Parámetros'!G16/(1+2^(-'⚙ Parámetros'!F16*(M110-'⚙ Parámetros'!E16))),1)*M110)/(35/100*MAX('⚙ Parámetros'!D16/(1+2^(-'⚙ Parámetros'!C16*(J110-'⚙ Parámetros'!B16))),'⚙ Parámetros'!G16/(1+2^(-'⚙ Parámetros'!F16*(J110-'⚙ Parámetros'!E16))),1)+25/100*MAX('⚙ Parámetros'!D16/(1+2^(-'⚙ Parámetros'!C16*(K110-'⚙ Parámetros'!B16))),'⚙ Parámetros'!G16/(1+2^(-'⚙ Parámetros'!F16*(K110-'⚙ Parámetros'!E16))),1)+20/100*MAX('⚙ Parámetros'!D16/(1+2^(-'⚙ Parámetros'!C16*(L110-'⚙ Parámetros'!B16))),'⚙ Parámetros'!G16/(1+2^(-'⚙ Parámetros'!F16*(L110-'⚙ Parámetros'!E16))),1)+20/100*MAX('⚙ Parámetros'!D16/(1+2^(-'⚙ Parámetros'!C16*(M110-'⚙ Parámetros'!B16))),'⚙ Parámetros'!G16/(1+2^(-'⚙ Parámetros'!F16*(M110-'⚙ Parámetros'!E16))),1)),0)</f>
        <v>1.4000000000000001</v>
      </c>
      <c r="AD110" s="89">
        <f>IFERROR((30/100*MAX('⚙ Parámetros'!D17/(1+2^(-'⚙ Parámetros'!C17*(N110-'⚙ Parámetros'!B17))),'⚙ Parámetros'!G17/(1+2^(-'⚙ Parámetros'!F17*(N110-'⚙ Parámetros'!E17))),1)*N110+25/100*MAX('⚙ Parámetros'!D17/(1+2^(-'⚙ Parámetros'!C17*(O110-'⚙ Parámetros'!B17))),'⚙ Parámetros'!G17/(1+2^(-'⚙ Parámetros'!F17*(O110-'⚙ Parámetros'!E17))),1)*O110+25/100*MAX('⚙ Parámetros'!D17/(1+2^(-'⚙ Parámetros'!C17*(P110-'⚙ Parámetros'!B17))),'⚙ Parámetros'!G17/(1+2^(-'⚙ Parámetros'!F17*(P110-'⚙ Parámetros'!E17))),1)*P110+20/100*MAX('⚙ Parámetros'!D17/(1+2^(-'⚙ Parámetros'!C17*(Q110-'⚙ Parámetros'!B17))),'⚙ Parámetros'!G17/(1+2^(-'⚙ Parámetros'!F17*(Q110-'⚙ Parámetros'!E17))),1)*Q110)/(30/100*MAX('⚙ Parámetros'!D17/(1+2^(-'⚙ Parámetros'!C17*(N110-'⚙ Parámetros'!B17))),'⚙ Parámetros'!G17/(1+2^(-'⚙ Parámetros'!F17*(N110-'⚙ Parámetros'!E17))),1)+25/100*MAX('⚙ Parámetros'!D17/(1+2^(-'⚙ Parámetros'!C17*(O110-'⚙ Parámetros'!B17))),'⚙ Parámetros'!G17/(1+2^(-'⚙ Parámetros'!F17*(O110-'⚙ Parámetros'!E17))),1)+25/100*MAX('⚙ Parámetros'!D17/(1+2^(-'⚙ Parámetros'!C17*(P110-'⚙ Parámetros'!B17))),'⚙ Parámetros'!G17/(1+2^(-'⚙ Parámetros'!F17*(P110-'⚙ Parámetros'!E17))),1)+20/100*MAX('⚙ Parámetros'!D17/(1+2^(-'⚙ Parámetros'!C17*(Q110-'⚙ Parámetros'!B17))),'⚙ Parámetros'!G17/(1+2^(-'⚙ Parámetros'!F17*(Q110-'⚙ Parámetros'!E17))),1)),0)</f>
        <v>1</v>
      </c>
      <c r="AE110" s="89">
        <f>IFERROR((30/100*MAX('⚙ Parámetros'!D18/(1+2^(-'⚙ Parámetros'!C18*(R110-'⚙ Parámetros'!B18))),'⚙ Parámetros'!G18/(1+2^(-'⚙ Parámetros'!F18*(R110-'⚙ Parámetros'!E18))),1)*R110+30/100*MAX('⚙ Parámetros'!D18/(1+2^(-'⚙ Parámetros'!C18*(S110-'⚙ Parámetros'!B18))),'⚙ Parámetros'!G18/(1+2^(-'⚙ Parámetros'!F18*(S110-'⚙ Parámetros'!E18))),1)*S110+20/100*MAX('⚙ Parámetros'!D18/(1+2^(-'⚙ Parámetros'!C18*(T110-'⚙ Parámetros'!B18))),'⚙ Parámetros'!G18/(1+2^(-'⚙ Parámetros'!F18*(T110-'⚙ Parámetros'!E18))),1)*T110+20/100*MAX('⚙ Parámetros'!D18/(1+2^(-'⚙ Parámetros'!C18*(U110-'⚙ Parámetros'!B18))),'⚙ Parámetros'!G18/(1+2^(-'⚙ Parámetros'!F18*(U110-'⚙ Parámetros'!E18))),1)*U110)/(30/100*MAX('⚙ Parámetros'!D18/(1+2^(-'⚙ Parámetros'!C18*(R110-'⚙ Parámetros'!B18))),'⚙ Parámetros'!G18/(1+2^(-'⚙ Parámetros'!F18*(R110-'⚙ Parámetros'!E18))),1)+30/100*MAX('⚙ Parámetros'!D18/(1+2^(-'⚙ Parámetros'!C18*(S110-'⚙ Parámetros'!B18))),'⚙ Parámetros'!G18/(1+2^(-'⚙ Parámetros'!F18*(S110-'⚙ Parámetros'!E18))),1)+20/100*MAX('⚙ Parámetros'!D18/(1+2^(-'⚙ Parámetros'!C18*(T110-'⚙ Parámetros'!B18))),'⚙ Parámetros'!G18/(1+2^(-'⚙ Parámetros'!F18*(T110-'⚙ Parámetros'!E18))),1)+20/100*MAX('⚙ Parámetros'!D18/(1+2^(-'⚙ Parámetros'!C18*(U110-'⚙ Parámetros'!B18))),'⚙ Parámetros'!G18/(1+2^(-'⚙ Parámetros'!F18*(U110-'⚙ Parámetros'!E18))),1)),0)</f>
        <v>8.1801060365339655</v>
      </c>
      <c r="AF110" s="89">
        <f>IFERROR((30/100*MAX('⚙ Parámetros'!D19/(1+2^(-'⚙ Parámetros'!C19*(V110-'⚙ Parámetros'!B19))),'⚙ Parámetros'!G19/(1+2^(-'⚙ Parámetros'!F19*(V110-'⚙ Parámetros'!E19))),1)*V110+35/100*MAX('⚙ Parámetros'!D19/(1+2^(-'⚙ Parámetros'!C19*(W110-'⚙ Parámetros'!B19))),'⚙ Parámetros'!G19/(1+2^(-'⚙ Parámetros'!F19*(W110-'⚙ Parámetros'!E19))),1)*W110+35/100*MAX('⚙ Parámetros'!D19/(1+2^(-'⚙ Parámetros'!C19*(X110-'⚙ Parámetros'!B19))),'⚙ Parámetros'!G19/(1+2^(-'⚙ Parámetros'!F19*(X110-'⚙ Parámetros'!E19))),1)*X110)/(30/100*MAX('⚙ Parámetros'!D19/(1+2^(-'⚙ Parámetros'!C19*(V110-'⚙ Parámetros'!B19))),'⚙ Parámetros'!G19/(1+2^(-'⚙ Parámetros'!F19*(V110-'⚙ Parámetros'!E19))),1)+35/100*MAX('⚙ Parámetros'!D19/(1+2^(-'⚙ Parámetros'!C19*(W110-'⚙ Parámetros'!B19))),'⚙ Parámetros'!G19/(1+2^(-'⚙ Parámetros'!F19*(W110-'⚙ Parámetros'!E19))),1)+35/100*MAX('⚙ Parámetros'!D19/(1+2^(-'⚙ Parámetros'!C19*(X110-'⚙ Parámetros'!B19))),'⚙ Parámetros'!G19/(1+2^(-'⚙ Parámetros'!F19*(X110-'⚙ Parámetros'!E19))),1)),0)</f>
        <v>8.0351483057098907</v>
      </c>
      <c r="AG110" s="89">
        <f>IFERROR((35/100*MAX('⚙ Parámetros'!D20/(1+2^(-'⚙ Parámetros'!C20*(Y110-'⚙ Parámetros'!B20))),'⚙ Parámetros'!G20/(1+2^(-'⚙ Parámetros'!F20*(Y110-'⚙ Parámetros'!E20))),1)*Y110+35/100*MAX('⚙ Parámetros'!D20/(1+2^(-'⚙ Parámetros'!C20*(Z110-'⚙ Parámetros'!B20))),'⚙ Parámetros'!G20/(1+2^(-'⚙ Parámetros'!F20*(Z110-'⚙ Parámetros'!E20))),1)*Z110+30/100*MAX('⚙ Parámetros'!D20/(1+2^(-'⚙ Parámetros'!C20*(AA110-'⚙ Parámetros'!B20))),'⚙ Parámetros'!G20/(1+2^(-'⚙ Parámetros'!F20*(AA110-'⚙ Parámetros'!E20))),1)*AA110)/(35/100*MAX('⚙ Parámetros'!D20/(1+2^(-'⚙ Parámetros'!C20*(Y110-'⚙ Parámetros'!B20))),'⚙ Parámetros'!G20/(1+2^(-'⚙ Parámetros'!F20*(Y110-'⚙ Parámetros'!E20))),1)+35/100*MAX('⚙ Parámetros'!D20/(1+2^(-'⚙ Parámetros'!C20*(Z110-'⚙ Parámetros'!B20))),'⚙ Parámetros'!G20/(1+2^(-'⚙ Parámetros'!F20*(Z110-'⚙ Parámetros'!E20))),1)+30/100*MAX('⚙ Parámetros'!D20/(1+2^(-'⚙ Parámetros'!C20*(AA110-'⚙ Parámetros'!B20))),'⚙ Parámetros'!G20/(1+2^(-'⚙ Parámetros'!F20*(AA110-'⚙ Parámetros'!E20))),1)),0)</f>
        <v>3.7272727272727275</v>
      </c>
      <c r="AH110" s="90">
        <f>('⚙ Parámetros'!B5/100*AB110+'⚙ Parámetros'!B6/100*AC110+'⚙ Parámetros'!B7/100*AD110+'⚙ Parámetros'!B8/100*AE110+'⚙ Parámetros'!B9/100*AF110+'⚙ Parámetros'!B10/100*AG110)</f>
        <v>2.8633093731368833</v>
      </c>
      <c r="AI110" s="91">
        <f ca="1">MIN(1+MAX(0,TODAY()-DATE(2025,10,29))/365*'⚙ Parámetros'!B33,'⚙ Parámetros'!B34)</f>
        <v>1.092876712328767</v>
      </c>
      <c r="AJ110" s="82">
        <f t="shared" ca="1" si="6"/>
        <v>3.1292441340939798</v>
      </c>
      <c r="AK110" s="92" t="str">
        <f ca="1">IF(AB110&gt;='⚙ Parámetros'!B23,"⚑ AUTO-PRIOR.(D1≥8)",IF(AJ110&gt;='⚙ Parámetros'!B23,"PRIORITARIO",IF(AJ110&gt;='⚙ Parámetros'!B24,"ALTA PRIORIDAD",IF(AJ110&gt;='⚙ Parámetros'!B25,"PRIORIDAD MEDIA",IF(AJ110&gt;='⚙ Parámetros'!B26,"BAJA PRIORIDAD","DESCARTAR")))))</f>
        <v>DESCARTAR</v>
      </c>
      <c r="AL110" s="69" t="str">
        <f t="shared" si="7"/>
        <v>—</v>
      </c>
      <c r="AM110" s="85">
        <v>11</v>
      </c>
      <c r="AN110" s="83" t="str">
        <f>IF(AM110="","—",IF(AM110&lt;'⚙ Parámetros'!B29,"🟢 Corto",IF(AM110&lt;'⚙ Parámetros'!B30,"🟡 Medio","🔴 Largo")))</f>
        <v>🟢 Corto</v>
      </c>
    </row>
    <row r="111" spans="1:40" ht="18.75" customHeight="1" x14ac:dyDescent="0.25">
      <c r="A111" s="69">
        <v>107</v>
      </c>
      <c r="B111" s="70" t="s">
        <v>340</v>
      </c>
      <c r="C111" s="4" t="s">
        <v>147</v>
      </c>
      <c r="D111" s="71" t="s">
        <v>136</v>
      </c>
      <c r="E111" s="72" t="s">
        <v>251</v>
      </c>
      <c r="F111" s="74">
        <v>1</v>
      </c>
      <c r="G111" s="74">
        <v>1</v>
      </c>
      <c r="H111" s="74">
        <v>1</v>
      </c>
      <c r="I111" s="74">
        <v>1</v>
      </c>
      <c r="J111" s="74">
        <v>1</v>
      </c>
      <c r="K111" s="74">
        <v>1</v>
      </c>
      <c r="L111" s="74">
        <v>1</v>
      </c>
      <c r="M111" s="73">
        <v>3</v>
      </c>
      <c r="N111" s="74">
        <v>1</v>
      </c>
      <c r="O111" s="74">
        <v>1</v>
      </c>
      <c r="P111" s="74">
        <v>1</v>
      </c>
      <c r="Q111" s="74">
        <v>1</v>
      </c>
      <c r="R111" s="76">
        <v>9</v>
      </c>
      <c r="S111" s="76">
        <v>9</v>
      </c>
      <c r="T111" s="73">
        <v>5</v>
      </c>
      <c r="U111" s="73">
        <v>5</v>
      </c>
      <c r="V111" s="77">
        <v>8</v>
      </c>
      <c r="W111" s="73">
        <v>6</v>
      </c>
      <c r="X111" s="77">
        <v>9</v>
      </c>
      <c r="Y111" s="73">
        <v>4</v>
      </c>
      <c r="Z111" s="74">
        <v>2</v>
      </c>
      <c r="AA111" s="73">
        <v>5</v>
      </c>
      <c r="AB111" s="80">
        <f>IFERROR((30/100*MAX('⚙ Parámetros'!D15/(1+2^(-'⚙ Parámetros'!C15*(F111-'⚙ Parámetros'!B15))),'⚙ Parámetros'!G15/(1+2^(-'⚙ Parámetros'!F15*(F111-'⚙ Parámetros'!E15))),1)*F111+30/100*MAX('⚙ Parámetros'!D15/(1+2^(-'⚙ Parámetros'!C15*(G111-'⚙ Parámetros'!B15))),'⚙ Parámetros'!G15/(1+2^(-'⚙ Parámetros'!F15*(G111-'⚙ Parámetros'!E15))),1)*G111+20/100*MAX('⚙ Parámetros'!D15/(1+2^(-'⚙ Parámetros'!C15*(H111-'⚙ Parámetros'!B15))),'⚙ Parámetros'!G15/(1+2^(-'⚙ Parámetros'!F15*(H111-'⚙ Parámetros'!E15))),1)*H111+20/100*MAX('⚙ Parámetros'!D15/(1+2^(-'⚙ Parámetros'!C15*(I111-'⚙ Parámetros'!B15))),'⚙ Parámetros'!G15/(1+2^(-'⚙ Parámetros'!F15*(I111-'⚙ Parámetros'!E15))),1)*I111)/(30/100*MAX('⚙ Parámetros'!D15/(1+2^(-'⚙ Parámetros'!C15*(F111-'⚙ Parámetros'!B15))),'⚙ Parámetros'!G15/(1+2^(-'⚙ Parámetros'!F15*(F111-'⚙ Parámetros'!E15))),1)+30/100*MAX('⚙ Parámetros'!D15/(1+2^(-'⚙ Parámetros'!C15*(G111-'⚙ Parámetros'!B15))),'⚙ Parámetros'!G15/(1+2^(-'⚙ Parámetros'!F15*(G111-'⚙ Parámetros'!E15))),1)+20/100*MAX('⚙ Parámetros'!D15/(1+2^(-'⚙ Parámetros'!C15*(H111-'⚙ Parámetros'!B15))),'⚙ Parámetros'!G15/(1+2^(-'⚙ Parámetros'!F15*(H111-'⚙ Parámetros'!E15))),1)+20/100*MAX('⚙ Parámetros'!D15/(1+2^(-'⚙ Parámetros'!C15*(I111-'⚙ Parámetros'!B15))),'⚙ Parámetros'!G15/(1+2^(-'⚙ Parámetros'!F15*(I111-'⚙ Parámetros'!E15))),1)),0)</f>
        <v>1</v>
      </c>
      <c r="AC111" s="80">
        <f>IFERROR((35/100*MAX('⚙ Parámetros'!D16/(1+2^(-'⚙ Parámetros'!C16*(J111-'⚙ Parámetros'!B16))),'⚙ Parámetros'!G16/(1+2^(-'⚙ Parámetros'!F16*(J111-'⚙ Parámetros'!E16))),1)*J111+25/100*MAX('⚙ Parámetros'!D16/(1+2^(-'⚙ Parámetros'!C16*(K111-'⚙ Parámetros'!B16))),'⚙ Parámetros'!G16/(1+2^(-'⚙ Parámetros'!F16*(K111-'⚙ Parámetros'!E16))),1)*K111+20/100*MAX('⚙ Parámetros'!D16/(1+2^(-'⚙ Parámetros'!C16*(L111-'⚙ Parámetros'!B16))),'⚙ Parámetros'!G16/(1+2^(-'⚙ Parámetros'!F16*(L111-'⚙ Parámetros'!E16))),1)*L111+20/100*MAX('⚙ Parámetros'!D16/(1+2^(-'⚙ Parámetros'!C16*(M111-'⚙ Parámetros'!B16))),'⚙ Parámetros'!G16/(1+2^(-'⚙ Parámetros'!F16*(M111-'⚙ Parámetros'!E16))),1)*M111)/(35/100*MAX('⚙ Parámetros'!D16/(1+2^(-'⚙ Parámetros'!C16*(J111-'⚙ Parámetros'!B16))),'⚙ Parámetros'!G16/(1+2^(-'⚙ Parámetros'!F16*(J111-'⚙ Parámetros'!E16))),1)+25/100*MAX('⚙ Parámetros'!D16/(1+2^(-'⚙ Parámetros'!C16*(K111-'⚙ Parámetros'!B16))),'⚙ Parámetros'!G16/(1+2^(-'⚙ Parámetros'!F16*(K111-'⚙ Parámetros'!E16))),1)+20/100*MAX('⚙ Parámetros'!D16/(1+2^(-'⚙ Parámetros'!C16*(L111-'⚙ Parámetros'!B16))),'⚙ Parámetros'!G16/(1+2^(-'⚙ Parámetros'!F16*(L111-'⚙ Parámetros'!E16))),1)+20/100*MAX('⚙ Parámetros'!D16/(1+2^(-'⚙ Parámetros'!C16*(M111-'⚙ Parámetros'!B16))),'⚙ Parámetros'!G16/(1+2^(-'⚙ Parámetros'!F16*(M111-'⚙ Parámetros'!E16))),1)),0)</f>
        <v>1.4000000000000001</v>
      </c>
      <c r="AD111" s="80">
        <f>IFERROR((30/100*MAX('⚙ Parámetros'!D17/(1+2^(-'⚙ Parámetros'!C17*(N111-'⚙ Parámetros'!B17))),'⚙ Parámetros'!G17/(1+2^(-'⚙ Parámetros'!F17*(N111-'⚙ Parámetros'!E17))),1)*N111+25/100*MAX('⚙ Parámetros'!D17/(1+2^(-'⚙ Parámetros'!C17*(O111-'⚙ Parámetros'!B17))),'⚙ Parámetros'!G17/(1+2^(-'⚙ Parámetros'!F17*(O111-'⚙ Parámetros'!E17))),1)*O111+25/100*MAX('⚙ Parámetros'!D17/(1+2^(-'⚙ Parámetros'!C17*(P111-'⚙ Parámetros'!B17))),'⚙ Parámetros'!G17/(1+2^(-'⚙ Parámetros'!F17*(P111-'⚙ Parámetros'!E17))),1)*P111+20/100*MAX('⚙ Parámetros'!D17/(1+2^(-'⚙ Parámetros'!C17*(Q111-'⚙ Parámetros'!B17))),'⚙ Parámetros'!G17/(1+2^(-'⚙ Parámetros'!F17*(Q111-'⚙ Parámetros'!E17))),1)*Q111)/(30/100*MAX('⚙ Parámetros'!D17/(1+2^(-'⚙ Parámetros'!C17*(N111-'⚙ Parámetros'!B17))),'⚙ Parámetros'!G17/(1+2^(-'⚙ Parámetros'!F17*(N111-'⚙ Parámetros'!E17))),1)+25/100*MAX('⚙ Parámetros'!D17/(1+2^(-'⚙ Parámetros'!C17*(O111-'⚙ Parámetros'!B17))),'⚙ Parámetros'!G17/(1+2^(-'⚙ Parámetros'!F17*(O111-'⚙ Parámetros'!E17))),1)+25/100*MAX('⚙ Parámetros'!D17/(1+2^(-'⚙ Parámetros'!C17*(P111-'⚙ Parámetros'!B17))),'⚙ Parámetros'!G17/(1+2^(-'⚙ Parámetros'!F17*(P111-'⚙ Parámetros'!E17))),1)+20/100*MAX('⚙ Parámetros'!D17/(1+2^(-'⚙ Parámetros'!C17*(Q111-'⚙ Parámetros'!B17))),'⚙ Parámetros'!G17/(1+2^(-'⚙ Parámetros'!F17*(Q111-'⚙ Parámetros'!E17))),1)),0)</f>
        <v>1</v>
      </c>
      <c r="AE111" s="80">
        <f>IFERROR((30/100*MAX('⚙ Parámetros'!D18/(1+2^(-'⚙ Parámetros'!C18*(R111-'⚙ Parámetros'!B18))),'⚙ Parámetros'!G18/(1+2^(-'⚙ Parámetros'!F18*(R111-'⚙ Parámetros'!E18))),1)*R111+30/100*MAX('⚙ Parámetros'!D18/(1+2^(-'⚙ Parámetros'!C18*(S111-'⚙ Parámetros'!B18))),'⚙ Parámetros'!G18/(1+2^(-'⚙ Parámetros'!F18*(S111-'⚙ Parámetros'!E18))),1)*S111+20/100*MAX('⚙ Parámetros'!D18/(1+2^(-'⚙ Parámetros'!C18*(T111-'⚙ Parámetros'!B18))),'⚙ Parámetros'!G18/(1+2^(-'⚙ Parámetros'!F18*(T111-'⚙ Parámetros'!E18))),1)*T111+20/100*MAX('⚙ Parámetros'!D18/(1+2^(-'⚙ Parámetros'!C18*(U111-'⚙ Parámetros'!B18))),'⚙ Parámetros'!G18/(1+2^(-'⚙ Parámetros'!F18*(U111-'⚙ Parámetros'!E18))),1)*U111)/(30/100*MAX('⚙ Parámetros'!D18/(1+2^(-'⚙ Parámetros'!C18*(R111-'⚙ Parámetros'!B18))),'⚙ Parámetros'!G18/(1+2^(-'⚙ Parámetros'!F18*(R111-'⚙ Parámetros'!E18))),1)+30/100*MAX('⚙ Parámetros'!D18/(1+2^(-'⚙ Parámetros'!C18*(S111-'⚙ Parámetros'!B18))),'⚙ Parámetros'!G18/(1+2^(-'⚙ Parámetros'!F18*(S111-'⚙ Parámetros'!E18))),1)+20/100*MAX('⚙ Parámetros'!D18/(1+2^(-'⚙ Parámetros'!C18*(T111-'⚙ Parámetros'!B18))),'⚙ Parámetros'!G18/(1+2^(-'⚙ Parámetros'!F18*(T111-'⚙ Parámetros'!E18))),1)+20/100*MAX('⚙ Parámetros'!D18/(1+2^(-'⚙ Parámetros'!C18*(U111-'⚙ Parámetros'!B18))),'⚙ Parámetros'!G18/(1+2^(-'⚙ Parámetros'!F18*(U111-'⚙ Parámetros'!E18))),1)),0)</f>
        <v>8.1801060365339655</v>
      </c>
      <c r="AF111" s="80">
        <f>IFERROR((30/100*MAX('⚙ Parámetros'!D19/(1+2^(-'⚙ Parámetros'!C19*(V111-'⚙ Parámetros'!B19))),'⚙ Parámetros'!G19/(1+2^(-'⚙ Parámetros'!F19*(V111-'⚙ Parámetros'!E19))),1)*V111+35/100*MAX('⚙ Parámetros'!D19/(1+2^(-'⚙ Parámetros'!C19*(W111-'⚙ Parámetros'!B19))),'⚙ Parámetros'!G19/(1+2^(-'⚙ Parámetros'!F19*(W111-'⚙ Parámetros'!E19))),1)*W111+35/100*MAX('⚙ Parámetros'!D19/(1+2^(-'⚙ Parámetros'!C19*(X111-'⚙ Parámetros'!B19))),'⚙ Parámetros'!G19/(1+2^(-'⚙ Parámetros'!F19*(X111-'⚙ Parámetros'!E19))),1)*X111)/(30/100*MAX('⚙ Parámetros'!D19/(1+2^(-'⚙ Parámetros'!C19*(V111-'⚙ Parámetros'!B19))),'⚙ Parámetros'!G19/(1+2^(-'⚙ Parámetros'!F19*(V111-'⚙ Parámetros'!E19))),1)+35/100*MAX('⚙ Parámetros'!D19/(1+2^(-'⚙ Parámetros'!C19*(W111-'⚙ Parámetros'!B19))),'⚙ Parámetros'!G19/(1+2^(-'⚙ Parámetros'!F19*(W111-'⚙ Parámetros'!E19))),1)+35/100*MAX('⚙ Parámetros'!D19/(1+2^(-'⚙ Parámetros'!C19*(X111-'⚙ Parámetros'!B19))),'⚙ Parámetros'!G19/(1+2^(-'⚙ Parámetros'!F19*(X111-'⚙ Parámetros'!E19))),1)),0)</f>
        <v>8.0351483057098907</v>
      </c>
      <c r="AG111" s="80">
        <f>IFERROR((35/100*MAX('⚙ Parámetros'!D20/(1+2^(-'⚙ Parámetros'!C20*(Y111-'⚙ Parámetros'!B20))),'⚙ Parámetros'!G20/(1+2^(-'⚙ Parámetros'!F20*(Y111-'⚙ Parámetros'!E20))),1)*Y111+35/100*MAX('⚙ Parámetros'!D20/(1+2^(-'⚙ Parámetros'!C20*(Z111-'⚙ Parámetros'!B20))),'⚙ Parámetros'!G20/(1+2^(-'⚙ Parámetros'!F20*(Z111-'⚙ Parámetros'!E20))),1)*Z111+30/100*MAX('⚙ Parámetros'!D20/(1+2^(-'⚙ Parámetros'!C20*(AA111-'⚙ Parámetros'!B20))),'⚙ Parámetros'!G20/(1+2^(-'⚙ Parámetros'!F20*(AA111-'⚙ Parámetros'!E20))),1)*AA111)/(35/100*MAX('⚙ Parámetros'!D20/(1+2^(-'⚙ Parámetros'!C20*(Y111-'⚙ Parámetros'!B20))),'⚙ Parámetros'!G20/(1+2^(-'⚙ Parámetros'!F20*(Y111-'⚙ Parámetros'!E20))),1)+35/100*MAX('⚙ Parámetros'!D20/(1+2^(-'⚙ Parámetros'!C20*(Z111-'⚙ Parámetros'!B20))),'⚙ Parámetros'!G20/(1+2^(-'⚙ Parámetros'!F20*(Z111-'⚙ Parámetros'!E20))),1)+30/100*MAX('⚙ Parámetros'!D20/(1+2^(-'⚙ Parámetros'!C20*(AA111-'⚙ Parámetros'!B20))),'⚙ Parámetros'!G20/(1+2^(-'⚙ Parámetros'!F20*(AA111-'⚙ Parámetros'!E20))),1)),0)</f>
        <v>3.7272727272727275</v>
      </c>
      <c r="AH111" s="81">
        <f>('⚙ Parámetros'!B5/100*AB111+'⚙ Parámetros'!B6/100*AC111+'⚙ Parámetros'!B7/100*AD111+'⚙ Parámetros'!B8/100*AE111+'⚙ Parámetros'!B9/100*AF111+'⚙ Parámetros'!B10/100*AG111)</f>
        <v>2.8633093731368833</v>
      </c>
      <c r="AI111" s="33">
        <f ca="1">MIN(1+MAX(0,TODAY()-DATE(2025,7,16))/365*'⚙ Parámetros'!B33,'⚙ Parámetros'!B34)</f>
        <v>1.1360273972602739</v>
      </c>
      <c r="AJ111" s="82">
        <f t="shared" ca="1" si="6"/>
        <v>3.25279789471564</v>
      </c>
      <c r="AK111" s="83" t="str">
        <f ca="1">IF(AB111&gt;='⚙ Parámetros'!B23,"⚑ AUTO-PRIOR.(D1≥8)",IF(AJ111&gt;='⚙ Parámetros'!B23,"PRIORITARIO",IF(AJ111&gt;='⚙ Parámetros'!B24,"ALTA PRIORIDAD",IF(AJ111&gt;='⚙ Parámetros'!B25,"PRIORIDAD MEDIA",IF(AJ111&gt;='⚙ Parámetros'!B26,"BAJA PRIORIDAD","DESCARTAR")))))</f>
        <v>DESCARTAR</v>
      </c>
      <c r="AL111" s="84" t="str">
        <f t="shared" si="7"/>
        <v>—</v>
      </c>
      <c r="AM111" s="85">
        <v>12</v>
      </c>
      <c r="AN111" s="83" t="str">
        <f>IF(AM111="","—",IF(AM111&lt;'⚙ Parámetros'!B29,"🟢 Corto",IF(AM111&lt;'⚙ Parámetros'!B30,"🟡 Medio","🔴 Largo")))</f>
        <v>🟢 Corto</v>
      </c>
    </row>
    <row r="112" spans="1:40" ht="18.75" customHeight="1" x14ac:dyDescent="0.25">
      <c r="A112" s="69">
        <v>108</v>
      </c>
      <c r="B112" s="30" t="s">
        <v>341</v>
      </c>
      <c r="C112" s="26" t="s">
        <v>135</v>
      </c>
      <c r="D112" s="71" t="s">
        <v>243</v>
      </c>
      <c r="E112" s="72" t="s">
        <v>296</v>
      </c>
      <c r="F112" s="74">
        <v>1</v>
      </c>
      <c r="G112" s="74">
        <v>1</v>
      </c>
      <c r="H112" s="74">
        <v>1</v>
      </c>
      <c r="I112" s="74">
        <v>1</v>
      </c>
      <c r="J112" s="74">
        <v>1</v>
      </c>
      <c r="K112" s="74">
        <v>1</v>
      </c>
      <c r="L112" s="74">
        <v>1</v>
      </c>
      <c r="M112" s="86">
        <v>3</v>
      </c>
      <c r="N112" s="74">
        <v>1</v>
      </c>
      <c r="O112" s="74">
        <v>1</v>
      </c>
      <c r="P112" s="74">
        <v>1</v>
      </c>
      <c r="Q112" s="74">
        <v>1</v>
      </c>
      <c r="R112" s="76">
        <v>9</v>
      </c>
      <c r="S112" s="76">
        <v>9</v>
      </c>
      <c r="T112" s="86">
        <v>5</v>
      </c>
      <c r="U112" s="86">
        <v>5</v>
      </c>
      <c r="V112" s="86">
        <v>5</v>
      </c>
      <c r="W112" s="86">
        <v>6</v>
      </c>
      <c r="X112" s="86">
        <v>6</v>
      </c>
      <c r="Y112" s="86">
        <v>4</v>
      </c>
      <c r="Z112" s="78">
        <v>8</v>
      </c>
      <c r="AA112" s="86">
        <v>5</v>
      </c>
      <c r="AB112" s="89">
        <f>IFERROR((30/100*MAX('⚙ Parámetros'!D15/(1+2^(-'⚙ Parámetros'!C15*(F112-'⚙ Parámetros'!B15))),'⚙ Parámetros'!G15/(1+2^(-'⚙ Parámetros'!F15*(F112-'⚙ Parámetros'!E15))),1)*F112+30/100*MAX('⚙ Parámetros'!D15/(1+2^(-'⚙ Parámetros'!C15*(G112-'⚙ Parámetros'!B15))),'⚙ Parámetros'!G15/(1+2^(-'⚙ Parámetros'!F15*(G112-'⚙ Parámetros'!E15))),1)*G112+20/100*MAX('⚙ Parámetros'!D15/(1+2^(-'⚙ Parámetros'!C15*(H112-'⚙ Parámetros'!B15))),'⚙ Parámetros'!G15/(1+2^(-'⚙ Parámetros'!F15*(H112-'⚙ Parámetros'!E15))),1)*H112+20/100*MAX('⚙ Parámetros'!D15/(1+2^(-'⚙ Parámetros'!C15*(I112-'⚙ Parámetros'!B15))),'⚙ Parámetros'!G15/(1+2^(-'⚙ Parámetros'!F15*(I112-'⚙ Parámetros'!E15))),1)*I112)/(30/100*MAX('⚙ Parámetros'!D15/(1+2^(-'⚙ Parámetros'!C15*(F112-'⚙ Parámetros'!B15))),'⚙ Parámetros'!G15/(1+2^(-'⚙ Parámetros'!F15*(F112-'⚙ Parámetros'!E15))),1)+30/100*MAX('⚙ Parámetros'!D15/(1+2^(-'⚙ Parámetros'!C15*(G112-'⚙ Parámetros'!B15))),'⚙ Parámetros'!G15/(1+2^(-'⚙ Parámetros'!F15*(G112-'⚙ Parámetros'!E15))),1)+20/100*MAX('⚙ Parámetros'!D15/(1+2^(-'⚙ Parámetros'!C15*(H112-'⚙ Parámetros'!B15))),'⚙ Parámetros'!G15/(1+2^(-'⚙ Parámetros'!F15*(H112-'⚙ Parámetros'!E15))),1)+20/100*MAX('⚙ Parámetros'!D15/(1+2^(-'⚙ Parámetros'!C15*(I112-'⚙ Parámetros'!B15))),'⚙ Parámetros'!G15/(1+2^(-'⚙ Parámetros'!F15*(I112-'⚙ Parámetros'!E15))),1)),0)</f>
        <v>1</v>
      </c>
      <c r="AC112" s="89">
        <f>IFERROR((35/100*MAX('⚙ Parámetros'!D16/(1+2^(-'⚙ Parámetros'!C16*(J112-'⚙ Parámetros'!B16))),'⚙ Parámetros'!G16/(1+2^(-'⚙ Parámetros'!F16*(J112-'⚙ Parámetros'!E16))),1)*J112+25/100*MAX('⚙ Parámetros'!D16/(1+2^(-'⚙ Parámetros'!C16*(K112-'⚙ Parámetros'!B16))),'⚙ Parámetros'!G16/(1+2^(-'⚙ Parámetros'!F16*(K112-'⚙ Parámetros'!E16))),1)*K112+20/100*MAX('⚙ Parámetros'!D16/(1+2^(-'⚙ Parámetros'!C16*(L112-'⚙ Parámetros'!B16))),'⚙ Parámetros'!G16/(1+2^(-'⚙ Parámetros'!F16*(L112-'⚙ Parámetros'!E16))),1)*L112+20/100*MAX('⚙ Parámetros'!D16/(1+2^(-'⚙ Parámetros'!C16*(M112-'⚙ Parámetros'!B16))),'⚙ Parámetros'!G16/(1+2^(-'⚙ Parámetros'!F16*(M112-'⚙ Parámetros'!E16))),1)*M112)/(35/100*MAX('⚙ Parámetros'!D16/(1+2^(-'⚙ Parámetros'!C16*(J112-'⚙ Parámetros'!B16))),'⚙ Parámetros'!G16/(1+2^(-'⚙ Parámetros'!F16*(J112-'⚙ Parámetros'!E16))),1)+25/100*MAX('⚙ Parámetros'!D16/(1+2^(-'⚙ Parámetros'!C16*(K112-'⚙ Parámetros'!B16))),'⚙ Parámetros'!G16/(1+2^(-'⚙ Parámetros'!F16*(K112-'⚙ Parámetros'!E16))),1)+20/100*MAX('⚙ Parámetros'!D16/(1+2^(-'⚙ Parámetros'!C16*(L112-'⚙ Parámetros'!B16))),'⚙ Parámetros'!G16/(1+2^(-'⚙ Parámetros'!F16*(L112-'⚙ Parámetros'!E16))),1)+20/100*MAX('⚙ Parámetros'!D16/(1+2^(-'⚙ Parámetros'!C16*(M112-'⚙ Parámetros'!B16))),'⚙ Parámetros'!G16/(1+2^(-'⚙ Parámetros'!F16*(M112-'⚙ Parámetros'!E16))),1)),0)</f>
        <v>1.4000000000000001</v>
      </c>
      <c r="AD112" s="89">
        <f>IFERROR((30/100*MAX('⚙ Parámetros'!D17/(1+2^(-'⚙ Parámetros'!C17*(N112-'⚙ Parámetros'!B17))),'⚙ Parámetros'!G17/(1+2^(-'⚙ Parámetros'!F17*(N112-'⚙ Parámetros'!E17))),1)*N112+25/100*MAX('⚙ Parámetros'!D17/(1+2^(-'⚙ Parámetros'!C17*(O112-'⚙ Parámetros'!B17))),'⚙ Parámetros'!G17/(1+2^(-'⚙ Parámetros'!F17*(O112-'⚙ Parámetros'!E17))),1)*O112+25/100*MAX('⚙ Parámetros'!D17/(1+2^(-'⚙ Parámetros'!C17*(P112-'⚙ Parámetros'!B17))),'⚙ Parámetros'!G17/(1+2^(-'⚙ Parámetros'!F17*(P112-'⚙ Parámetros'!E17))),1)*P112+20/100*MAX('⚙ Parámetros'!D17/(1+2^(-'⚙ Parámetros'!C17*(Q112-'⚙ Parámetros'!B17))),'⚙ Parámetros'!G17/(1+2^(-'⚙ Parámetros'!F17*(Q112-'⚙ Parámetros'!E17))),1)*Q112)/(30/100*MAX('⚙ Parámetros'!D17/(1+2^(-'⚙ Parámetros'!C17*(N112-'⚙ Parámetros'!B17))),'⚙ Parámetros'!G17/(1+2^(-'⚙ Parámetros'!F17*(N112-'⚙ Parámetros'!E17))),1)+25/100*MAX('⚙ Parámetros'!D17/(1+2^(-'⚙ Parámetros'!C17*(O112-'⚙ Parámetros'!B17))),'⚙ Parámetros'!G17/(1+2^(-'⚙ Parámetros'!F17*(O112-'⚙ Parámetros'!E17))),1)+25/100*MAX('⚙ Parámetros'!D17/(1+2^(-'⚙ Parámetros'!C17*(P112-'⚙ Parámetros'!B17))),'⚙ Parámetros'!G17/(1+2^(-'⚙ Parámetros'!F17*(P112-'⚙ Parámetros'!E17))),1)+20/100*MAX('⚙ Parámetros'!D17/(1+2^(-'⚙ Parámetros'!C17*(Q112-'⚙ Parámetros'!B17))),'⚙ Parámetros'!G17/(1+2^(-'⚙ Parámetros'!F17*(Q112-'⚙ Parámetros'!E17))),1)),0)</f>
        <v>1</v>
      </c>
      <c r="AE112" s="89">
        <f>IFERROR((30/100*MAX('⚙ Parámetros'!D18/(1+2^(-'⚙ Parámetros'!C18*(R112-'⚙ Parámetros'!B18))),'⚙ Parámetros'!G18/(1+2^(-'⚙ Parámetros'!F18*(R112-'⚙ Parámetros'!E18))),1)*R112+30/100*MAX('⚙ Parámetros'!D18/(1+2^(-'⚙ Parámetros'!C18*(S112-'⚙ Parámetros'!B18))),'⚙ Parámetros'!G18/(1+2^(-'⚙ Parámetros'!F18*(S112-'⚙ Parámetros'!E18))),1)*S112+20/100*MAX('⚙ Parámetros'!D18/(1+2^(-'⚙ Parámetros'!C18*(T112-'⚙ Parámetros'!B18))),'⚙ Parámetros'!G18/(1+2^(-'⚙ Parámetros'!F18*(T112-'⚙ Parámetros'!E18))),1)*T112+20/100*MAX('⚙ Parámetros'!D18/(1+2^(-'⚙ Parámetros'!C18*(U112-'⚙ Parámetros'!B18))),'⚙ Parámetros'!G18/(1+2^(-'⚙ Parámetros'!F18*(U112-'⚙ Parámetros'!E18))),1)*U112)/(30/100*MAX('⚙ Parámetros'!D18/(1+2^(-'⚙ Parámetros'!C18*(R112-'⚙ Parámetros'!B18))),'⚙ Parámetros'!G18/(1+2^(-'⚙ Parámetros'!F18*(R112-'⚙ Parámetros'!E18))),1)+30/100*MAX('⚙ Parámetros'!D18/(1+2^(-'⚙ Parámetros'!C18*(S112-'⚙ Parámetros'!B18))),'⚙ Parámetros'!G18/(1+2^(-'⚙ Parámetros'!F18*(S112-'⚙ Parámetros'!E18))),1)+20/100*MAX('⚙ Parámetros'!D18/(1+2^(-'⚙ Parámetros'!C18*(T112-'⚙ Parámetros'!B18))),'⚙ Parámetros'!G18/(1+2^(-'⚙ Parámetros'!F18*(T112-'⚙ Parámetros'!E18))),1)+20/100*MAX('⚙ Parámetros'!D18/(1+2^(-'⚙ Parámetros'!C18*(U112-'⚙ Parámetros'!B18))),'⚙ Parámetros'!G18/(1+2^(-'⚙ Parámetros'!F18*(U112-'⚙ Parámetros'!E18))),1)),0)</f>
        <v>8.1801060365339655</v>
      </c>
      <c r="AF112" s="89">
        <f>IFERROR((30/100*MAX('⚙ Parámetros'!D19/(1+2^(-'⚙ Parámetros'!C19*(V112-'⚙ Parámetros'!B19))),'⚙ Parámetros'!G19/(1+2^(-'⚙ Parámetros'!F19*(V112-'⚙ Parámetros'!E19))),1)*V112+35/100*MAX('⚙ Parámetros'!D19/(1+2^(-'⚙ Parámetros'!C19*(W112-'⚙ Parámetros'!B19))),'⚙ Parámetros'!G19/(1+2^(-'⚙ Parámetros'!F19*(W112-'⚙ Parámetros'!E19))),1)*W112+35/100*MAX('⚙ Parámetros'!D19/(1+2^(-'⚙ Parámetros'!C19*(X112-'⚙ Parámetros'!B19))),'⚙ Parámetros'!G19/(1+2^(-'⚙ Parámetros'!F19*(X112-'⚙ Parámetros'!E19))),1)*X112)/(30/100*MAX('⚙ Parámetros'!D19/(1+2^(-'⚙ Parámetros'!C19*(V112-'⚙ Parámetros'!B19))),'⚙ Parámetros'!G19/(1+2^(-'⚙ Parámetros'!F19*(V112-'⚙ Parámetros'!E19))),1)+35/100*MAX('⚙ Parámetros'!D19/(1+2^(-'⚙ Parámetros'!C19*(W112-'⚙ Parámetros'!B19))),'⚙ Parámetros'!G19/(1+2^(-'⚙ Parámetros'!F19*(W112-'⚙ Parámetros'!E19))),1)+35/100*MAX('⚙ Parámetros'!D19/(1+2^(-'⚙ Parámetros'!C19*(X112-'⚙ Parámetros'!B19))),'⚙ Parámetros'!G19/(1+2^(-'⚙ Parámetros'!F19*(X112-'⚙ Parámetros'!E19))),1)),0)</f>
        <v>5.7368421052631575</v>
      </c>
      <c r="AG112" s="89">
        <f>IFERROR((35/100*MAX('⚙ Parámetros'!D20/(1+2^(-'⚙ Parámetros'!C20*(Y112-'⚙ Parámetros'!B20))),'⚙ Parámetros'!G20/(1+2^(-'⚙ Parámetros'!F20*(Y112-'⚙ Parámetros'!E20))),1)*Y112+35/100*MAX('⚙ Parámetros'!D20/(1+2^(-'⚙ Parámetros'!C20*(Z112-'⚙ Parámetros'!B20))),'⚙ Parámetros'!G20/(1+2^(-'⚙ Parámetros'!F20*(Z112-'⚙ Parámetros'!E20))),1)*Z112+30/100*MAX('⚙ Parámetros'!D20/(1+2^(-'⚙ Parámetros'!C20*(AA112-'⚙ Parámetros'!B20))),'⚙ Parámetros'!G20/(1+2^(-'⚙ Parámetros'!F20*(AA112-'⚙ Parámetros'!E20))),1)*AA112)/(35/100*MAX('⚙ Parámetros'!D20/(1+2^(-'⚙ Parámetros'!C20*(Y112-'⚙ Parámetros'!B20))),'⚙ Parámetros'!G20/(1+2^(-'⚙ Parámetros'!F20*(Y112-'⚙ Parámetros'!E20))),1)+35/100*MAX('⚙ Parámetros'!D20/(1+2^(-'⚙ Parámetros'!C20*(Z112-'⚙ Parámetros'!B20))),'⚙ Parámetros'!G20/(1+2^(-'⚙ Parámetros'!F20*(Z112-'⚙ Parámetros'!E20))),1)+30/100*MAX('⚙ Parámetros'!D20/(1+2^(-'⚙ Parámetros'!C20*(AA112-'⚙ Parámetros'!B20))),'⚙ Parámetros'!G20/(1+2^(-'⚙ Parámetros'!F20*(AA112-'⚙ Parámetros'!E20))),1)),0)</f>
        <v>6.5555555555555554</v>
      </c>
      <c r="AH112" s="90">
        <f>('⚙ Parámetros'!B5/100*AB112+'⚙ Parámetros'!B6/100*AC112+'⚙ Parámetros'!B7/100*AD112+'⚙ Parámetros'!B8/100*AE112+'⚙ Parámetros'!B9/100*AF112+'⚙ Parámetros'!B10/100*AG112)</f>
        <v>2.8597413793548361</v>
      </c>
      <c r="AI112" s="91">
        <f ca="1">MIN(1+MAX(0,TODAY()-DATE(2025,7,2))/365*'⚙ Parámetros'!B33,'⚙ Parámetros'!B34)</f>
        <v>1.1417808219178083</v>
      </c>
      <c r="AJ112" s="82">
        <f t="shared" ca="1" si="6"/>
        <v>3.2651978625921316</v>
      </c>
      <c r="AK112" s="92" t="str">
        <f ca="1">IF(AB112&gt;='⚙ Parámetros'!B23,"⚑ AUTO-PRIOR.(D1≥8)",IF(AJ112&gt;='⚙ Parámetros'!B23,"PRIORITARIO",IF(AJ112&gt;='⚙ Parámetros'!B24,"ALTA PRIORIDAD",IF(AJ112&gt;='⚙ Parámetros'!B25,"PRIORIDAD MEDIA",IF(AJ112&gt;='⚙ Parámetros'!B26,"BAJA PRIORIDAD","DESCARTAR")))))</f>
        <v>DESCARTAR</v>
      </c>
      <c r="AL112" s="69" t="str">
        <f t="shared" si="7"/>
        <v>—</v>
      </c>
      <c r="AM112" s="85">
        <v>21</v>
      </c>
      <c r="AN112" s="83" t="str">
        <f>IF(AM112="","—",IF(AM112&lt;'⚙ Parámetros'!B29,"🟢 Corto",IF(AM112&lt;'⚙ Parámetros'!B30,"🟡 Medio","🔴 Largo")))</f>
        <v>🟢 Corto</v>
      </c>
    </row>
    <row r="113" spans="1:40" ht="18.75" customHeight="1" x14ac:dyDescent="0.25">
      <c r="A113" s="69">
        <v>109</v>
      </c>
      <c r="B113" s="70" t="s">
        <v>342</v>
      </c>
      <c r="C113" s="4" t="s">
        <v>266</v>
      </c>
      <c r="D113" s="71" t="s">
        <v>243</v>
      </c>
      <c r="E113" s="72" t="s">
        <v>170</v>
      </c>
      <c r="F113" s="74">
        <v>1</v>
      </c>
      <c r="G113" s="74">
        <v>1</v>
      </c>
      <c r="H113" s="74">
        <v>1</v>
      </c>
      <c r="I113" s="74">
        <v>1</v>
      </c>
      <c r="J113" s="74">
        <v>1</v>
      </c>
      <c r="K113" s="74">
        <v>1</v>
      </c>
      <c r="L113" s="74">
        <v>1</v>
      </c>
      <c r="M113" s="73">
        <v>3</v>
      </c>
      <c r="N113" s="74">
        <v>1</v>
      </c>
      <c r="O113" s="74">
        <v>1</v>
      </c>
      <c r="P113" s="74">
        <v>1</v>
      </c>
      <c r="Q113" s="74">
        <v>1</v>
      </c>
      <c r="R113" s="76">
        <v>9</v>
      </c>
      <c r="S113" s="76">
        <v>9</v>
      </c>
      <c r="T113" s="73">
        <v>5</v>
      </c>
      <c r="U113" s="73">
        <v>5</v>
      </c>
      <c r="V113" s="73">
        <v>5</v>
      </c>
      <c r="W113" s="73">
        <v>6</v>
      </c>
      <c r="X113" s="73">
        <v>6</v>
      </c>
      <c r="Y113" s="73">
        <v>4</v>
      </c>
      <c r="Z113" s="78">
        <v>8</v>
      </c>
      <c r="AA113" s="73">
        <v>5</v>
      </c>
      <c r="AB113" s="80">
        <f>IFERROR((30/100*MAX('⚙ Parámetros'!D15/(1+2^(-'⚙ Parámetros'!C15*(F113-'⚙ Parámetros'!B15))),'⚙ Parámetros'!G15/(1+2^(-'⚙ Parámetros'!F15*(F113-'⚙ Parámetros'!E15))),1)*F113+30/100*MAX('⚙ Parámetros'!D15/(1+2^(-'⚙ Parámetros'!C15*(G113-'⚙ Parámetros'!B15))),'⚙ Parámetros'!G15/(1+2^(-'⚙ Parámetros'!F15*(G113-'⚙ Parámetros'!E15))),1)*G113+20/100*MAX('⚙ Parámetros'!D15/(1+2^(-'⚙ Parámetros'!C15*(H113-'⚙ Parámetros'!B15))),'⚙ Parámetros'!G15/(1+2^(-'⚙ Parámetros'!F15*(H113-'⚙ Parámetros'!E15))),1)*H113+20/100*MAX('⚙ Parámetros'!D15/(1+2^(-'⚙ Parámetros'!C15*(I113-'⚙ Parámetros'!B15))),'⚙ Parámetros'!G15/(1+2^(-'⚙ Parámetros'!F15*(I113-'⚙ Parámetros'!E15))),1)*I113)/(30/100*MAX('⚙ Parámetros'!D15/(1+2^(-'⚙ Parámetros'!C15*(F113-'⚙ Parámetros'!B15))),'⚙ Parámetros'!G15/(1+2^(-'⚙ Parámetros'!F15*(F113-'⚙ Parámetros'!E15))),1)+30/100*MAX('⚙ Parámetros'!D15/(1+2^(-'⚙ Parámetros'!C15*(G113-'⚙ Parámetros'!B15))),'⚙ Parámetros'!G15/(1+2^(-'⚙ Parámetros'!F15*(G113-'⚙ Parámetros'!E15))),1)+20/100*MAX('⚙ Parámetros'!D15/(1+2^(-'⚙ Parámetros'!C15*(H113-'⚙ Parámetros'!B15))),'⚙ Parámetros'!G15/(1+2^(-'⚙ Parámetros'!F15*(H113-'⚙ Parámetros'!E15))),1)+20/100*MAX('⚙ Parámetros'!D15/(1+2^(-'⚙ Parámetros'!C15*(I113-'⚙ Parámetros'!B15))),'⚙ Parámetros'!G15/(1+2^(-'⚙ Parámetros'!F15*(I113-'⚙ Parámetros'!E15))),1)),0)</f>
        <v>1</v>
      </c>
      <c r="AC113" s="80">
        <f>IFERROR((35/100*MAX('⚙ Parámetros'!D16/(1+2^(-'⚙ Parámetros'!C16*(J113-'⚙ Parámetros'!B16))),'⚙ Parámetros'!G16/(1+2^(-'⚙ Parámetros'!F16*(J113-'⚙ Parámetros'!E16))),1)*J113+25/100*MAX('⚙ Parámetros'!D16/(1+2^(-'⚙ Parámetros'!C16*(K113-'⚙ Parámetros'!B16))),'⚙ Parámetros'!G16/(1+2^(-'⚙ Parámetros'!F16*(K113-'⚙ Parámetros'!E16))),1)*K113+20/100*MAX('⚙ Parámetros'!D16/(1+2^(-'⚙ Parámetros'!C16*(L113-'⚙ Parámetros'!B16))),'⚙ Parámetros'!G16/(1+2^(-'⚙ Parámetros'!F16*(L113-'⚙ Parámetros'!E16))),1)*L113+20/100*MAX('⚙ Parámetros'!D16/(1+2^(-'⚙ Parámetros'!C16*(M113-'⚙ Parámetros'!B16))),'⚙ Parámetros'!G16/(1+2^(-'⚙ Parámetros'!F16*(M113-'⚙ Parámetros'!E16))),1)*M113)/(35/100*MAX('⚙ Parámetros'!D16/(1+2^(-'⚙ Parámetros'!C16*(J113-'⚙ Parámetros'!B16))),'⚙ Parámetros'!G16/(1+2^(-'⚙ Parámetros'!F16*(J113-'⚙ Parámetros'!E16))),1)+25/100*MAX('⚙ Parámetros'!D16/(1+2^(-'⚙ Parámetros'!C16*(K113-'⚙ Parámetros'!B16))),'⚙ Parámetros'!G16/(1+2^(-'⚙ Parámetros'!F16*(K113-'⚙ Parámetros'!E16))),1)+20/100*MAX('⚙ Parámetros'!D16/(1+2^(-'⚙ Parámetros'!C16*(L113-'⚙ Parámetros'!B16))),'⚙ Parámetros'!G16/(1+2^(-'⚙ Parámetros'!F16*(L113-'⚙ Parámetros'!E16))),1)+20/100*MAX('⚙ Parámetros'!D16/(1+2^(-'⚙ Parámetros'!C16*(M113-'⚙ Parámetros'!B16))),'⚙ Parámetros'!G16/(1+2^(-'⚙ Parámetros'!F16*(M113-'⚙ Parámetros'!E16))),1)),0)</f>
        <v>1.4000000000000001</v>
      </c>
      <c r="AD113" s="80">
        <f>IFERROR((30/100*MAX('⚙ Parámetros'!D17/(1+2^(-'⚙ Parámetros'!C17*(N113-'⚙ Parámetros'!B17))),'⚙ Parámetros'!G17/(1+2^(-'⚙ Parámetros'!F17*(N113-'⚙ Parámetros'!E17))),1)*N113+25/100*MAX('⚙ Parámetros'!D17/(1+2^(-'⚙ Parámetros'!C17*(O113-'⚙ Parámetros'!B17))),'⚙ Parámetros'!G17/(1+2^(-'⚙ Parámetros'!F17*(O113-'⚙ Parámetros'!E17))),1)*O113+25/100*MAX('⚙ Parámetros'!D17/(1+2^(-'⚙ Parámetros'!C17*(P113-'⚙ Parámetros'!B17))),'⚙ Parámetros'!G17/(1+2^(-'⚙ Parámetros'!F17*(P113-'⚙ Parámetros'!E17))),1)*P113+20/100*MAX('⚙ Parámetros'!D17/(1+2^(-'⚙ Parámetros'!C17*(Q113-'⚙ Parámetros'!B17))),'⚙ Parámetros'!G17/(1+2^(-'⚙ Parámetros'!F17*(Q113-'⚙ Parámetros'!E17))),1)*Q113)/(30/100*MAX('⚙ Parámetros'!D17/(1+2^(-'⚙ Parámetros'!C17*(N113-'⚙ Parámetros'!B17))),'⚙ Parámetros'!G17/(1+2^(-'⚙ Parámetros'!F17*(N113-'⚙ Parámetros'!E17))),1)+25/100*MAX('⚙ Parámetros'!D17/(1+2^(-'⚙ Parámetros'!C17*(O113-'⚙ Parámetros'!B17))),'⚙ Parámetros'!G17/(1+2^(-'⚙ Parámetros'!F17*(O113-'⚙ Parámetros'!E17))),1)+25/100*MAX('⚙ Parámetros'!D17/(1+2^(-'⚙ Parámetros'!C17*(P113-'⚙ Parámetros'!B17))),'⚙ Parámetros'!G17/(1+2^(-'⚙ Parámetros'!F17*(P113-'⚙ Parámetros'!E17))),1)+20/100*MAX('⚙ Parámetros'!D17/(1+2^(-'⚙ Parámetros'!C17*(Q113-'⚙ Parámetros'!B17))),'⚙ Parámetros'!G17/(1+2^(-'⚙ Parámetros'!F17*(Q113-'⚙ Parámetros'!E17))),1)),0)</f>
        <v>1</v>
      </c>
      <c r="AE113" s="80">
        <f>IFERROR((30/100*MAX('⚙ Parámetros'!D18/(1+2^(-'⚙ Parámetros'!C18*(R113-'⚙ Parámetros'!B18))),'⚙ Parámetros'!G18/(1+2^(-'⚙ Parámetros'!F18*(R113-'⚙ Parámetros'!E18))),1)*R113+30/100*MAX('⚙ Parámetros'!D18/(1+2^(-'⚙ Parámetros'!C18*(S113-'⚙ Parámetros'!B18))),'⚙ Parámetros'!G18/(1+2^(-'⚙ Parámetros'!F18*(S113-'⚙ Parámetros'!E18))),1)*S113+20/100*MAX('⚙ Parámetros'!D18/(1+2^(-'⚙ Parámetros'!C18*(T113-'⚙ Parámetros'!B18))),'⚙ Parámetros'!G18/(1+2^(-'⚙ Parámetros'!F18*(T113-'⚙ Parámetros'!E18))),1)*T113+20/100*MAX('⚙ Parámetros'!D18/(1+2^(-'⚙ Parámetros'!C18*(U113-'⚙ Parámetros'!B18))),'⚙ Parámetros'!G18/(1+2^(-'⚙ Parámetros'!F18*(U113-'⚙ Parámetros'!E18))),1)*U113)/(30/100*MAX('⚙ Parámetros'!D18/(1+2^(-'⚙ Parámetros'!C18*(R113-'⚙ Parámetros'!B18))),'⚙ Parámetros'!G18/(1+2^(-'⚙ Parámetros'!F18*(R113-'⚙ Parámetros'!E18))),1)+30/100*MAX('⚙ Parámetros'!D18/(1+2^(-'⚙ Parámetros'!C18*(S113-'⚙ Parámetros'!B18))),'⚙ Parámetros'!G18/(1+2^(-'⚙ Parámetros'!F18*(S113-'⚙ Parámetros'!E18))),1)+20/100*MAX('⚙ Parámetros'!D18/(1+2^(-'⚙ Parámetros'!C18*(T113-'⚙ Parámetros'!B18))),'⚙ Parámetros'!G18/(1+2^(-'⚙ Parámetros'!F18*(T113-'⚙ Parámetros'!E18))),1)+20/100*MAX('⚙ Parámetros'!D18/(1+2^(-'⚙ Parámetros'!C18*(U113-'⚙ Parámetros'!B18))),'⚙ Parámetros'!G18/(1+2^(-'⚙ Parámetros'!F18*(U113-'⚙ Parámetros'!E18))),1)),0)</f>
        <v>8.1801060365339655</v>
      </c>
      <c r="AF113" s="80">
        <f>IFERROR((30/100*MAX('⚙ Parámetros'!D19/(1+2^(-'⚙ Parámetros'!C19*(V113-'⚙ Parámetros'!B19))),'⚙ Parámetros'!G19/(1+2^(-'⚙ Parámetros'!F19*(V113-'⚙ Parámetros'!E19))),1)*V113+35/100*MAX('⚙ Parámetros'!D19/(1+2^(-'⚙ Parámetros'!C19*(W113-'⚙ Parámetros'!B19))),'⚙ Parámetros'!G19/(1+2^(-'⚙ Parámetros'!F19*(W113-'⚙ Parámetros'!E19))),1)*W113+35/100*MAX('⚙ Parámetros'!D19/(1+2^(-'⚙ Parámetros'!C19*(X113-'⚙ Parámetros'!B19))),'⚙ Parámetros'!G19/(1+2^(-'⚙ Parámetros'!F19*(X113-'⚙ Parámetros'!E19))),1)*X113)/(30/100*MAX('⚙ Parámetros'!D19/(1+2^(-'⚙ Parámetros'!C19*(V113-'⚙ Parámetros'!B19))),'⚙ Parámetros'!G19/(1+2^(-'⚙ Parámetros'!F19*(V113-'⚙ Parámetros'!E19))),1)+35/100*MAX('⚙ Parámetros'!D19/(1+2^(-'⚙ Parámetros'!C19*(W113-'⚙ Parámetros'!B19))),'⚙ Parámetros'!G19/(1+2^(-'⚙ Parámetros'!F19*(W113-'⚙ Parámetros'!E19))),1)+35/100*MAX('⚙ Parámetros'!D19/(1+2^(-'⚙ Parámetros'!C19*(X113-'⚙ Parámetros'!B19))),'⚙ Parámetros'!G19/(1+2^(-'⚙ Parámetros'!F19*(X113-'⚙ Parámetros'!E19))),1)),0)</f>
        <v>5.7368421052631575</v>
      </c>
      <c r="AG113" s="80">
        <f>IFERROR((35/100*MAX('⚙ Parámetros'!D20/(1+2^(-'⚙ Parámetros'!C20*(Y113-'⚙ Parámetros'!B20))),'⚙ Parámetros'!G20/(1+2^(-'⚙ Parámetros'!F20*(Y113-'⚙ Parámetros'!E20))),1)*Y113+35/100*MAX('⚙ Parámetros'!D20/(1+2^(-'⚙ Parámetros'!C20*(Z113-'⚙ Parámetros'!B20))),'⚙ Parámetros'!G20/(1+2^(-'⚙ Parámetros'!F20*(Z113-'⚙ Parámetros'!E20))),1)*Z113+30/100*MAX('⚙ Parámetros'!D20/(1+2^(-'⚙ Parámetros'!C20*(AA113-'⚙ Parámetros'!B20))),'⚙ Parámetros'!G20/(1+2^(-'⚙ Parámetros'!F20*(AA113-'⚙ Parámetros'!E20))),1)*AA113)/(35/100*MAX('⚙ Parámetros'!D20/(1+2^(-'⚙ Parámetros'!C20*(Y113-'⚙ Parámetros'!B20))),'⚙ Parámetros'!G20/(1+2^(-'⚙ Parámetros'!F20*(Y113-'⚙ Parámetros'!E20))),1)+35/100*MAX('⚙ Parámetros'!D20/(1+2^(-'⚙ Parámetros'!C20*(Z113-'⚙ Parámetros'!B20))),'⚙ Parámetros'!G20/(1+2^(-'⚙ Parámetros'!F20*(Z113-'⚙ Parámetros'!E20))),1)+30/100*MAX('⚙ Parámetros'!D20/(1+2^(-'⚙ Parámetros'!C20*(AA113-'⚙ Parámetros'!B20))),'⚙ Parámetros'!G20/(1+2^(-'⚙ Parámetros'!F20*(AA113-'⚙ Parámetros'!E20))),1)),0)</f>
        <v>6.5555555555555554</v>
      </c>
      <c r="AH113" s="81">
        <f>('⚙ Parámetros'!B5/100*AB113+'⚙ Parámetros'!B6/100*AC113+'⚙ Parámetros'!B7/100*AD113+'⚙ Parámetros'!B8/100*AE113+'⚙ Parámetros'!B9/100*AF113+'⚙ Parámetros'!B10/100*AG113)</f>
        <v>2.8597413793548361</v>
      </c>
      <c r="AI113" s="33">
        <f ca="1">MIN(1+MAX(0,TODAY()-DATE(2025,6,10))/365*'⚙ Parámetros'!B33,'⚙ Parámetros'!B34)</f>
        <v>1.1508219178082191</v>
      </c>
      <c r="AJ113" s="82">
        <f t="shared" ca="1" si="6"/>
        <v>3.2910530586246542</v>
      </c>
      <c r="AK113" s="83" t="str">
        <f ca="1">IF(AB113&gt;='⚙ Parámetros'!B23,"⚑ AUTO-PRIOR.(D1≥8)",IF(AJ113&gt;='⚙ Parámetros'!B23,"PRIORITARIO",IF(AJ113&gt;='⚙ Parámetros'!B24,"ALTA PRIORIDAD",IF(AJ113&gt;='⚙ Parámetros'!B25,"PRIORIDAD MEDIA",IF(AJ113&gt;='⚙ Parámetros'!B26,"BAJA PRIORIDAD","DESCARTAR")))))</f>
        <v>DESCARTAR</v>
      </c>
      <c r="AL113" s="84" t="str">
        <f t="shared" si="7"/>
        <v>—</v>
      </c>
      <c r="AM113" s="85">
        <v>35</v>
      </c>
      <c r="AN113" s="83" t="str">
        <f>IF(AM113="","—",IF(AM113&lt;'⚙ Parámetros'!B29,"🟢 Corto",IF(AM113&lt;'⚙ Parámetros'!B30,"🟡 Medio","🔴 Largo")))</f>
        <v>🟡 Medio</v>
      </c>
    </row>
    <row r="114" spans="1:40" ht="18.75" customHeight="1" x14ac:dyDescent="0.25">
      <c r="A114" s="69">
        <v>110</v>
      </c>
      <c r="B114" s="30" t="s">
        <v>343</v>
      </c>
      <c r="C114" s="26" t="s">
        <v>344</v>
      </c>
      <c r="D114" s="71" t="s">
        <v>139</v>
      </c>
      <c r="E114" s="72" t="s">
        <v>154</v>
      </c>
      <c r="F114" s="74">
        <v>1</v>
      </c>
      <c r="G114" s="74">
        <v>1</v>
      </c>
      <c r="H114" s="74">
        <v>1</v>
      </c>
      <c r="I114" s="74">
        <v>1</v>
      </c>
      <c r="J114" s="74">
        <v>1</v>
      </c>
      <c r="K114" s="74">
        <v>1</v>
      </c>
      <c r="L114" s="74">
        <v>1</v>
      </c>
      <c r="M114" s="86">
        <v>3</v>
      </c>
      <c r="N114" s="74">
        <v>1</v>
      </c>
      <c r="O114" s="74">
        <v>1</v>
      </c>
      <c r="P114" s="74">
        <v>1</v>
      </c>
      <c r="Q114" s="74">
        <v>1</v>
      </c>
      <c r="R114" s="76">
        <v>9</v>
      </c>
      <c r="S114" s="76">
        <v>9</v>
      </c>
      <c r="T114" s="86">
        <v>5</v>
      </c>
      <c r="U114" s="86">
        <v>5</v>
      </c>
      <c r="V114" s="77">
        <v>8</v>
      </c>
      <c r="W114" s="86">
        <v>6</v>
      </c>
      <c r="X114" s="77">
        <v>9</v>
      </c>
      <c r="Y114" s="86">
        <v>4</v>
      </c>
      <c r="Z114" s="74">
        <v>2</v>
      </c>
      <c r="AA114" s="86">
        <v>5</v>
      </c>
      <c r="AB114" s="89">
        <f>IFERROR((30/100*MAX('⚙ Parámetros'!D15/(1+2^(-'⚙ Parámetros'!C15*(F114-'⚙ Parámetros'!B15))),'⚙ Parámetros'!G15/(1+2^(-'⚙ Parámetros'!F15*(F114-'⚙ Parámetros'!E15))),1)*F114+30/100*MAX('⚙ Parámetros'!D15/(1+2^(-'⚙ Parámetros'!C15*(G114-'⚙ Parámetros'!B15))),'⚙ Parámetros'!G15/(1+2^(-'⚙ Parámetros'!F15*(G114-'⚙ Parámetros'!E15))),1)*G114+20/100*MAX('⚙ Parámetros'!D15/(1+2^(-'⚙ Parámetros'!C15*(H114-'⚙ Parámetros'!B15))),'⚙ Parámetros'!G15/(1+2^(-'⚙ Parámetros'!F15*(H114-'⚙ Parámetros'!E15))),1)*H114+20/100*MAX('⚙ Parámetros'!D15/(1+2^(-'⚙ Parámetros'!C15*(I114-'⚙ Parámetros'!B15))),'⚙ Parámetros'!G15/(1+2^(-'⚙ Parámetros'!F15*(I114-'⚙ Parámetros'!E15))),1)*I114)/(30/100*MAX('⚙ Parámetros'!D15/(1+2^(-'⚙ Parámetros'!C15*(F114-'⚙ Parámetros'!B15))),'⚙ Parámetros'!G15/(1+2^(-'⚙ Parámetros'!F15*(F114-'⚙ Parámetros'!E15))),1)+30/100*MAX('⚙ Parámetros'!D15/(1+2^(-'⚙ Parámetros'!C15*(G114-'⚙ Parámetros'!B15))),'⚙ Parámetros'!G15/(1+2^(-'⚙ Parámetros'!F15*(G114-'⚙ Parámetros'!E15))),1)+20/100*MAX('⚙ Parámetros'!D15/(1+2^(-'⚙ Parámetros'!C15*(H114-'⚙ Parámetros'!B15))),'⚙ Parámetros'!G15/(1+2^(-'⚙ Parámetros'!F15*(H114-'⚙ Parámetros'!E15))),1)+20/100*MAX('⚙ Parámetros'!D15/(1+2^(-'⚙ Parámetros'!C15*(I114-'⚙ Parámetros'!B15))),'⚙ Parámetros'!G15/(1+2^(-'⚙ Parámetros'!F15*(I114-'⚙ Parámetros'!E15))),1)),0)</f>
        <v>1</v>
      </c>
      <c r="AC114" s="89">
        <f>IFERROR((35/100*MAX('⚙ Parámetros'!D16/(1+2^(-'⚙ Parámetros'!C16*(J114-'⚙ Parámetros'!B16))),'⚙ Parámetros'!G16/(1+2^(-'⚙ Parámetros'!F16*(J114-'⚙ Parámetros'!E16))),1)*J114+25/100*MAX('⚙ Parámetros'!D16/(1+2^(-'⚙ Parámetros'!C16*(K114-'⚙ Parámetros'!B16))),'⚙ Parámetros'!G16/(1+2^(-'⚙ Parámetros'!F16*(K114-'⚙ Parámetros'!E16))),1)*K114+20/100*MAX('⚙ Parámetros'!D16/(1+2^(-'⚙ Parámetros'!C16*(L114-'⚙ Parámetros'!B16))),'⚙ Parámetros'!G16/(1+2^(-'⚙ Parámetros'!F16*(L114-'⚙ Parámetros'!E16))),1)*L114+20/100*MAX('⚙ Parámetros'!D16/(1+2^(-'⚙ Parámetros'!C16*(M114-'⚙ Parámetros'!B16))),'⚙ Parámetros'!G16/(1+2^(-'⚙ Parámetros'!F16*(M114-'⚙ Parámetros'!E16))),1)*M114)/(35/100*MAX('⚙ Parámetros'!D16/(1+2^(-'⚙ Parámetros'!C16*(J114-'⚙ Parámetros'!B16))),'⚙ Parámetros'!G16/(1+2^(-'⚙ Parámetros'!F16*(J114-'⚙ Parámetros'!E16))),1)+25/100*MAX('⚙ Parámetros'!D16/(1+2^(-'⚙ Parámetros'!C16*(K114-'⚙ Parámetros'!B16))),'⚙ Parámetros'!G16/(1+2^(-'⚙ Parámetros'!F16*(K114-'⚙ Parámetros'!E16))),1)+20/100*MAX('⚙ Parámetros'!D16/(1+2^(-'⚙ Parámetros'!C16*(L114-'⚙ Parámetros'!B16))),'⚙ Parámetros'!G16/(1+2^(-'⚙ Parámetros'!F16*(L114-'⚙ Parámetros'!E16))),1)+20/100*MAX('⚙ Parámetros'!D16/(1+2^(-'⚙ Parámetros'!C16*(M114-'⚙ Parámetros'!B16))),'⚙ Parámetros'!G16/(1+2^(-'⚙ Parámetros'!F16*(M114-'⚙ Parámetros'!E16))),1)),0)</f>
        <v>1.4000000000000001</v>
      </c>
      <c r="AD114" s="89">
        <f>IFERROR((30/100*MAX('⚙ Parámetros'!D17/(1+2^(-'⚙ Parámetros'!C17*(N114-'⚙ Parámetros'!B17))),'⚙ Parámetros'!G17/(1+2^(-'⚙ Parámetros'!F17*(N114-'⚙ Parámetros'!E17))),1)*N114+25/100*MAX('⚙ Parámetros'!D17/(1+2^(-'⚙ Parámetros'!C17*(O114-'⚙ Parámetros'!B17))),'⚙ Parámetros'!G17/(1+2^(-'⚙ Parámetros'!F17*(O114-'⚙ Parámetros'!E17))),1)*O114+25/100*MAX('⚙ Parámetros'!D17/(1+2^(-'⚙ Parámetros'!C17*(P114-'⚙ Parámetros'!B17))),'⚙ Parámetros'!G17/(1+2^(-'⚙ Parámetros'!F17*(P114-'⚙ Parámetros'!E17))),1)*P114+20/100*MAX('⚙ Parámetros'!D17/(1+2^(-'⚙ Parámetros'!C17*(Q114-'⚙ Parámetros'!B17))),'⚙ Parámetros'!G17/(1+2^(-'⚙ Parámetros'!F17*(Q114-'⚙ Parámetros'!E17))),1)*Q114)/(30/100*MAX('⚙ Parámetros'!D17/(1+2^(-'⚙ Parámetros'!C17*(N114-'⚙ Parámetros'!B17))),'⚙ Parámetros'!G17/(1+2^(-'⚙ Parámetros'!F17*(N114-'⚙ Parámetros'!E17))),1)+25/100*MAX('⚙ Parámetros'!D17/(1+2^(-'⚙ Parámetros'!C17*(O114-'⚙ Parámetros'!B17))),'⚙ Parámetros'!G17/(1+2^(-'⚙ Parámetros'!F17*(O114-'⚙ Parámetros'!E17))),1)+25/100*MAX('⚙ Parámetros'!D17/(1+2^(-'⚙ Parámetros'!C17*(P114-'⚙ Parámetros'!B17))),'⚙ Parámetros'!G17/(1+2^(-'⚙ Parámetros'!F17*(P114-'⚙ Parámetros'!E17))),1)+20/100*MAX('⚙ Parámetros'!D17/(1+2^(-'⚙ Parámetros'!C17*(Q114-'⚙ Parámetros'!B17))),'⚙ Parámetros'!G17/(1+2^(-'⚙ Parámetros'!F17*(Q114-'⚙ Parámetros'!E17))),1)),0)</f>
        <v>1</v>
      </c>
      <c r="AE114" s="89">
        <f>IFERROR((30/100*MAX('⚙ Parámetros'!D18/(1+2^(-'⚙ Parámetros'!C18*(R114-'⚙ Parámetros'!B18))),'⚙ Parámetros'!G18/(1+2^(-'⚙ Parámetros'!F18*(R114-'⚙ Parámetros'!E18))),1)*R114+30/100*MAX('⚙ Parámetros'!D18/(1+2^(-'⚙ Parámetros'!C18*(S114-'⚙ Parámetros'!B18))),'⚙ Parámetros'!G18/(1+2^(-'⚙ Parámetros'!F18*(S114-'⚙ Parámetros'!E18))),1)*S114+20/100*MAX('⚙ Parámetros'!D18/(1+2^(-'⚙ Parámetros'!C18*(T114-'⚙ Parámetros'!B18))),'⚙ Parámetros'!G18/(1+2^(-'⚙ Parámetros'!F18*(T114-'⚙ Parámetros'!E18))),1)*T114+20/100*MAX('⚙ Parámetros'!D18/(1+2^(-'⚙ Parámetros'!C18*(U114-'⚙ Parámetros'!B18))),'⚙ Parámetros'!G18/(1+2^(-'⚙ Parámetros'!F18*(U114-'⚙ Parámetros'!E18))),1)*U114)/(30/100*MAX('⚙ Parámetros'!D18/(1+2^(-'⚙ Parámetros'!C18*(R114-'⚙ Parámetros'!B18))),'⚙ Parámetros'!G18/(1+2^(-'⚙ Parámetros'!F18*(R114-'⚙ Parámetros'!E18))),1)+30/100*MAX('⚙ Parámetros'!D18/(1+2^(-'⚙ Parámetros'!C18*(S114-'⚙ Parámetros'!B18))),'⚙ Parámetros'!G18/(1+2^(-'⚙ Parámetros'!F18*(S114-'⚙ Parámetros'!E18))),1)+20/100*MAX('⚙ Parámetros'!D18/(1+2^(-'⚙ Parámetros'!C18*(T114-'⚙ Parámetros'!B18))),'⚙ Parámetros'!G18/(1+2^(-'⚙ Parámetros'!F18*(T114-'⚙ Parámetros'!E18))),1)+20/100*MAX('⚙ Parámetros'!D18/(1+2^(-'⚙ Parámetros'!C18*(U114-'⚙ Parámetros'!B18))),'⚙ Parámetros'!G18/(1+2^(-'⚙ Parámetros'!F18*(U114-'⚙ Parámetros'!E18))),1)),0)</f>
        <v>8.1801060365339655</v>
      </c>
      <c r="AF114" s="89">
        <f>IFERROR((30/100*MAX('⚙ Parámetros'!D19/(1+2^(-'⚙ Parámetros'!C19*(V114-'⚙ Parámetros'!B19))),'⚙ Parámetros'!G19/(1+2^(-'⚙ Parámetros'!F19*(V114-'⚙ Parámetros'!E19))),1)*V114+35/100*MAX('⚙ Parámetros'!D19/(1+2^(-'⚙ Parámetros'!C19*(W114-'⚙ Parámetros'!B19))),'⚙ Parámetros'!G19/(1+2^(-'⚙ Parámetros'!F19*(W114-'⚙ Parámetros'!E19))),1)*W114+35/100*MAX('⚙ Parámetros'!D19/(1+2^(-'⚙ Parámetros'!C19*(X114-'⚙ Parámetros'!B19))),'⚙ Parámetros'!G19/(1+2^(-'⚙ Parámetros'!F19*(X114-'⚙ Parámetros'!E19))),1)*X114)/(30/100*MAX('⚙ Parámetros'!D19/(1+2^(-'⚙ Parámetros'!C19*(V114-'⚙ Parámetros'!B19))),'⚙ Parámetros'!G19/(1+2^(-'⚙ Parámetros'!F19*(V114-'⚙ Parámetros'!E19))),1)+35/100*MAX('⚙ Parámetros'!D19/(1+2^(-'⚙ Parámetros'!C19*(W114-'⚙ Parámetros'!B19))),'⚙ Parámetros'!G19/(1+2^(-'⚙ Parámetros'!F19*(W114-'⚙ Parámetros'!E19))),1)+35/100*MAX('⚙ Parámetros'!D19/(1+2^(-'⚙ Parámetros'!C19*(X114-'⚙ Parámetros'!B19))),'⚙ Parámetros'!G19/(1+2^(-'⚙ Parámetros'!F19*(X114-'⚙ Parámetros'!E19))),1)),0)</f>
        <v>8.0351483057098907</v>
      </c>
      <c r="AG114" s="89">
        <f>IFERROR((35/100*MAX('⚙ Parámetros'!D20/(1+2^(-'⚙ Parámetros'!C20*(Y114-'⚙ Parámetros'!B20))),'⚙ Parámetros'!G20/(1+2^(-'⚙ Parámetros'!F20*(Y114-'⚙ Parámetros'!E20))),1)*Y114+35/100*MAX('⚙ Parámetros'!D20/(1+2^(-'⚙ Parámetros'!C20*(Z114-'⚙ Parámetros'!B20))),'⚙ Parámetros'!G20/(1+2^(-'⚙ Parámetros'!F20*(Z114-'⚙ Parámetros'!E20))),1)*Z114+30/100*MAX('⚙ Parámetros'!D20/(1+2^(-'⚙ Parámetros'!C20*(AA114-'⚙ Parámetros'!B20))),'⚙ Parámetros'!G20/(1+2^(-'⚙ Parámetros'!F20*(AA114-'⚙ Parámetros'!E20))),1)*AA114)/(35/100*MAX('⚙ Parámetros'!D20/(1+2^(-'⚙ Parámetros'!C20*(Y114-'⚙ Parámetros'!B20))),'⚙ Parámetros'!G20/(1+2^(-'⚙ Parámetros'!F20*(Y114-'⚙ Parámetros'!E20))),1)+35/100*MAX('⚙ Parámetros'!D20/(1+2^(-'⚙ Parámetros'!C20*(Z114-'⚙ Parámetros'!B20))),'⚙ Parámetros'!G20/(1+2^(-'⚙ Parámetros'!F20*(Z114-'⚙ Parámetros'!E20))),1)+30/100*MAX('⚙ Parámetros'!D20/(1+2^(-'⚙ Parámetros'!C20*(AA114-'⚙ Parámetros'!B20))),'⚙ Parámetros'!G20/(1+2^(-'⚙ Parámetros'!F20*(AA114-'⚙ Parámetros'!E20))),1)),0)</f>
        <v>3.7272727272727275</v>
      </c>
      <c r="AH114" s="90">
        <f>('⚙ Parámetros'!B5/100*AB114+'⚙ Parámetros'!B6/100*AC114+'⚙ Parámetros'!B7/100*AD114+'⚙ Parámetros'!B8/100*AE114+'⚙ Parámetros'!B9/100*AF114+'⚙ Parámetros'!B10/100*AG114)</f>
        <v>2.8633093731368833</v>
      </c>
      <c r="AI114" s="91">
        <f ca="1">MIN(1+MAX(0,TODAY()-DATE(2024,9,13))/365*'⚙ Parámetros'!B33,'⚙ Parámetros'!B34)</f>
        <v>1.25</v>
      </c>
      <c r="AJ114" s="82">
        <f t="shared" ca="1" si="6"/>
        <v>3.5791367164211039</v>
      </c>
      <c r="AK114" s="92" t="str">
        <f ca="1">IF(AB114&gt;='⚙ Parámetros'!B23,"⚑ AUTO-PRIOR.(D1≥8)",IF(AJ114&gt;='⚙ Parámetros'!B23,"PRIORITARIO",IF(AJ114&gt;='⚙ Parámetros'!B24,"ALTA PRIORIDAD",IF(AJ114&gt;='⚙ Parámetros'!B25,"PRIORIDAD MEDIA",IF(AJ114&gt;='⚙ Parámetros'!B26,"BAJA PRIORIDAD","DESCARTAR")))))</f>
        <v>DESCARTAR</v>
      </c>
      <c r="AL114" s="69" t="str">
        <f t="shared" si="7"/>
        <v>—</v>
      </c>
      <c r="AM114" s="85">
        <v>45</v>
      </c>
      <c r="AN114" s="83" t="str">
        <f>IF(AM114="","—",IF(AM114&lt;'⚙ Parámetros'!B29,"🟢 Corto",IF(AM114&lt;'⚙ Parámetros'!B30,"🟡 Medio","🔴 Largo")))</f>
        <v>🟡 Medio</v>
      </c>
    </row>
    <row r="115" spans="1:40" ht="18.75" customHeight="1" x14ac:dyDescent="0.25">
      <c r="A115" s="69">
        <v>111</v>
      </c>
      <c r="B115" s="70" t="s">
        <v>345</v>
      </c>
      <c r="C115" s="4" t="s">
        <v>135</v>
      </c>
      <c r="D115" s="71" t="s">
        <v>136</v>
      </c>
      <c r="E115" s="72" t="s">
        <v>154</v>
      </c>
      <c r="F115" s="74">
        <v>1</v>
      </c>
      <c r="G115" s="74">
        <v>1</v>
      </c>
      <c r="H115" s="74">
        <v>1</v>
      </c>
      <c r="I115" s="74">
        <v>1</v>
      </c>
      <c r="J115" s="74">
        <v>1</v>
      </c>
      <c r="K115" s="74">
        <v>1</v>
      </c>
      <c r="L115" s="74">
        <v>1</v>
      </c>
      <c r="M115" s="73">
        <v>3</v>
      </c>
      <c r="N115" s="74">
        <v>1</v>
      </c>
      <c r="O115" s="74">
        <v>1</v>
      </c>
      <c r="P115" s="74">
        <v>1</v>
      </c>
      <c r="Q115" s="74">
        <v>1</v>
      </c>
      <c r="R115" s="76">
        <v>9</v>
      </c>
      <c r="S115" s="76">
        <v>9</v>
      </c>
      <c r="T115" s="73">
        <v>5</v>
      </c>
      <c r="U115" s="73">
        <v>5</v>
      </c>
      <c r="V115" s="77">
        <v>8</v>
      </c>
      <c r="W115" s="73">
        <v>6</v>
      </c>
      <c r="X115" s="77">
        <v>9</v>
      </c>
      <c r="Y115" s="73">
        <v>4</v>
      </c>
      <c r="Z115" s="74">
        <v>2</v>
      </c>
      <c r="AA115" s="73">
        <v>5</v>
      </c>
      <c r="AB115" s="80">
        <f>IFERROR((30/100*MAX('⚙ Parámetros'!D15/(1+2^(-'⚙ Parámetros'!C15*(F115-'⚙ Parámetros'!B15))),'⚙ Parámetros'!G15/(1+2^(-'⚙ Parámetros'!F15*(F115-'⚙ Parámetros'!E15))),1)*F115+30/100*MAX('⚙ Parámetros'!D15/(1+2^(-'⚙ Parámetros'!C15*(G115-'⚙ Parámetros'!B15))),'⚙ Parámetros'!G15/(1+2^(-'⚙ Parámetros'!F15*(G115-'⚙ Parámetros'!E15))),1)*G115+20/100*MAX('⚙ Parámetros'!D15/(1+2^(-'⚙ Parámetros'!C15*(H115-'⚙ Parámetros'!B15))),'⚙ Parámetros'!G15/(1+2^(-'⚙ Parámetros'!F15*(H115-'⚙ Parámetros'!E15))),1)*H115+20/100*MAX('⚙ Parámetros'!D15/(1+2^(-'⚙ Parámetros'!C15*(I115-'⚙ Parámetros'!B15))),'⚙ Parámetros'!G15/(1+2^(-'⚙ Parámetros'!F15*(I115-'⚙ Parámetros'!E15))),1)*I115)/(30/100*MAX('⚙ Parámetros'!D15/(1+2^(-'⚙ Parámetros'!C15*(F115-'⚙ Parámetros'!B15))),'⚙ Parámetros'!G15/(1+2^(-'⚙ Parámetros'!F15*(F115-'⚙ Parámetros'!E15))),1)+30/100*MAX('⚙ Parámetros'!D15/(1+2^(-'⚙ Parámetros'!C15*(G115-'⚙ Parámetros'!B15))),'⚙ Parámetros'!G15/(1+2^(-'⚙ Parámetros'!F15*(G115-'⚙ Parámetros'!E15))),1)+20/100*MAX('⚙ Parámetros'!D15/(1+2^(-'⚙ Parámetros'!C15*(H115-'⚙ Parámetros'!B15))),'⚙ Parámetros'!G15/(1+2^(-'⚙ Parámetros'!F15*(H115-'⚙ Parámetros'!E15))),1)+20/100*MAX('⚙ Parámetros'!D15/(1+2^(-'⚙ Parámetros'!C15*(I115-'⚙ Parámetros'!B15))),'⚙ Parámetros'!G15/(1+2^(-'⚙ Parámetros'!F15*(I115-'⚙ Parámetros'!E15))),1)),0)</f>
        <v>1</v>
      </c>
      <c r="AC115" s="80">
        <f>IFERROR((35/100*MAX('⚙ Parámetros'!D16/(1+2^(-'⚙ Parámetros'!C16*(J115-'⚙ Parámetros'!B16))),'⚙ Parámetros'!G16/(1+2^(-'⚙ Parámetros'!F16*(J115-'⚙ Parámetros'!E16))),1)*J115+25/100*MAX('⚙ Parámetros'!D16/(1+2^(-'⚙ Parámetros'!C16*(K115-'⚙ Parámetros'!B16))),'⚙ Parámetros'!G16/(1+2^(-'⚙ Parámetros'!F16*(K115-'⚙ Parámetros'!E16))),1)*K115+20/100*MAX('⚙ Parámetros'!D16/(1+2^(-'⚙ Parámetros'!C16*(L115-'⚙ Parámetros'!B16))),'⚙ Parámetros'!G16/(1+2^(-'⚙ Parámetros'!F16*(L115-'⚙ Parámetros'!E16))),1)*L115+20/100*MAX('⚙ Parámetros'!D16/(1+2^(-'⚙ Parámetros'!C16*(M115-'⚙ Parámetros'!B16))),'⚙ Parámetros'!G16/(1+2^(-'⚙ Parámetros'!F16*(M115-'⚙ Parámetros'!E16))),1)*M115)/(35/100*MAX('⚙ Parámetros'!D16/(1+2^(-'⚙ Parámetros'!C16*(J115-'⚙ Parámetros'!B16))),'⚙ Parámetros'!G16/(1+2^(-'⚙ Parámetros'!F16*(J115-'⚙ Parámetros'!E16))),1)+25/100*MAX('⚙ Parámetros'!D16/(1+2^(-'⚙ Parámetros'!C16*(K115-'⚙ Parámetros'!B16))),'⚙ Parámetros'!G16/(1+2^(-'⚙ Parámetros'!F16*(K115-'⚙ Parámetros'!E16))),1)+20/100*MAX('⚙ Parámetros'!D16/(1+2^(-'⚙ Parámetros'!C16*(L115-'⚙ Parámetros'!B16))),'⚙ Parámetros'!G16/(1+2^(-'⚙ Parámetros'!F16*(L115-'⚙ Parámetros'!E16))),1)+20/100*MAX('⚙ Parámetros'!D16/(1+2^(-'⚙ Parámetros'!C16*(M115-'⚙ Parámetros'!B16))),'⚙ Parámetros'!G16/(1+2^(-'⚙ Parámetros'!F16*(M115-'⚙ Parámetros'!E16))),1)),0)</f>
        <v>1.4000000000000001</v>
      </c>
      <c r="AD115" s="80">
        <f>IFERROR((30/100*MAX('⚙ Parámetros'!D17/(1+2^(-'⚙ Parámetros'!C17*(N115-'⚙ Parámetros'!B17))),'⚙ Parámetros'!G17/(1+2^(-'⚙ Parámetros'!F17*(N115-'⚙ Parámetros'!E17))),1)*N115+25/100*MAX('⚙ Parámetros'!D17/(1+2^(-'⚙ Parámetros'!C17*(O115-'⚙ Parámetros'!B17))),'⚙ Parámetros'!G17/(1+2^(-'⚙ Parámetros'!F17*(O115-'⚙ Parámetros'!E17))),1)*O115+25/100*MAX('⚙ Parámetros'!D17/(1+2^(-'⚙ Parámetros'!C17*(P115-'⚙ Parámetros'!B17))),'⚙ Parámetros'!G17/(1+2^(-'⚙ Parámetros'!F17*(P115-'⚙ Parámetros'!E17))),1)*P115+20/100*MAX('⚙ Parámetros'!D17/(1+2^(-'⚙ Parámetros'!C17*(Q115-'⚙ Parámetros'!B17))),'⚙ Parámetros'!G17/(1+2^(-'⚙ Parámetros'!F17*(Q115-'⚙ Parámetros'!E17))),1)*Q115)/(30/100*MAX('⚙ Parámetros'!D17/(1+2^(-'⚙ Parámetros'!C17*(N115-'⚙ Parámetros'!B17))),'⚙ Parámetros'!G17/(1+2^(-'⚙ Parámetros'!F17*(N115-'⚙ Parámetros'!E17))),1)+25/100*MAX('⚙ Parámetros'!D17/(1+2^(-'⚙ Parámetros'!C17*(O115-'⚙ Parámetros'!B17))),'⚙ Parámetros'!G17/(1+2^(-'⚙ Parámetros'!F17*(O115-'⚙ Parámetros'!E17))),1)+25/100*MAX('⚙ Parámetros'!D17/(1+2^(-'⚙ Parámetros'!C17*(P115-'⚙ Parámetros'!B17))),'⚙ Parámetros'!G17/(1+2^(-'⚙ Parámetros'!F17*(P115-'⚙ Parámetros'!E17))),1)+20/100*MAX('⚙ Parámetros'!D17/(1+2^(-'⚙ Parámetros'!C17*(Q115-'⚙ Parámetros'!B17))),'⚙ Parámetros'!G17/(1+2^(-'⚙ Parámetros'!F17*(Q115-'⚙ Parámetros'!E17))),1)),0)</f>
        <v>1</v>
      </c>
      <c r="AE115" s="80">
        <f>IFERROR((30/100*MAX('⚙ Parámetros'!D18/(1+2^(-'⚙ Parámetros'!C18*(R115-'⚙ Parámetros'!B18))),'⚙ Parámetros'!G18/(1+2^(-'⚙ Parámetros'!F18*(R115-'⚙ Parámetros'!E18))),1)*R115+30/100*MAX('⚙ Parámetros'!D18/(1+2^(-'⚙ Parámetros'!C18*(S115-'⚙ Parámetros'!B18))),'⚙ Parámetros'!G18/(1+2^(-'⚙ Parámetros'!F18*(S115-'⚙ Parámetros'!E18))),1)*S115+20/100*MAX('⚙ Parámetros'!D18/(1+2^(-'⚙ Parámetros'!C18*(T115-'⚙ Parámetros'!B18))),'⚙ Parámetros'!G18/(1+2^(-'⚙ Parámetros'!F18*(T115-'⚙ Parámetros'!E18))),1)*T115+20/100*MAX('⚙ Parámetros'!D18/(1+2^(-'⚙ Parámetros'!C18*(U115-'⚙ Parámetros'!B18))),'⚙ Parámetros'!G18/(1+2^(-'⚙ Parámetros'!F18*(U115-'⚙ Parámetros'!E18))),1)*U115)/(30/100*MAX('⚙ Parámetros'!D18/(1+2^(-'⚙ Parámetros'!C18*(R115-'⚙ Parámetros'!B18))),'⚙ Parámetros'!G18/(1+2^(-'⚙ Parámetros'!F18*(R115-'⚙ Parámetros'!E18))),1)+30/100*MAX('⚙ Parámetros'!D18/(1+2^(-'⚙ Parámetros'!C18*(S115-'⚙ Parámetros'!B18))),'⚙ Parámetros'!G18/(1+2^(-'⚙ Parámetros'!F18*(S115-'⚙ Parámetros'!E18))),1)+20/100*MAX('⚙ Parámetros'!D18/(1+2^(-'⚙ Parámetros'!C18*(T115-'⚙ Parámetros'!B18))),'⚙ Parámetros'!G18/(1+2^(-'⚙ Parámetros'!F18*(T115-'⚙ Parámetros'!E18))),1)+20/100*MAX('⚙ Parámetros'!D18/(1+2^(-'⚙ Parámetros'!C18*(U115-'⚙ Parámetros'!B18))),'⚙ Parámetros'!G18/(1+2^(-'⚙ Parámetros'!F18*(U115-'⚙ Parámetros'!E18))),1)),0)</f>
        <v>8.1801060365339655</v>
      </c>
      <c r="AF115" s="80">
        <f>IFERROR((30/100*MAX('⚙ Parámetros'!D19/(1+2^(-'⚙ Parámetros'!C19*(V115-'⚙ Parámetros'!B19))),'⚙ Parámetros'!G19/(1+2^(-'⚙ Parámetros'!F19*(V115-'⚙ Parámetros'!E19))),1)*V115+35/100*MAX('⚙ Parámetros'!D19/(1+2^(-'⚙ Parámetros'!C19*(W115-'⚙ Parámetros'!B19))),'⚙ Parámetros'!G19/(1+2^(-'⚙ Parámetros'!F19*(W115-'⚙ Parámetros'!E19))),1)*W115+35/100*MAX('⚙ Parámetros'!D19/(1+2^(-'⚙ Parámetros'!C19*(X115-'⚙ Parámetros'!B19))),'⚙ Parámetros'!G19/(1+2^(-'⚙ Parámetros'!F19*(X115-'⚙ Parámetros'!E19))),1)*X115)/(30/100*MAX('⚙ Parámetros'!D19/(1+2^(-'⚙ Parámetros'!C19*(V115-'⚙ Parámetros'!B19))),'⚙ Parámetros'!G19/(1+2^(-'⚙ Parámetros'!F19*(V115-'⚙ Parámetros'!E19))),1)+35/100*MAX('⚙ Parámetros'!D19/(1+2^(-'⚙ Parámetros'!C19*(W115-'⚙ Parámetros'!B19))),'⚙ Parámetros'!G19/(1+2^(-'⚙ Parámetros'!F19*(W115-'⚙ Parámetros'!E19))),1)+35/100*MAX('⚙ Parámetros'!D19/(1+2^(-'⚙ Parámetros'!C19*(X115-'⚙ Parámetros'!B19))),'⚙ Parámetros'!G19/(1+2^(-'⚙ Parámetros'!F19*(X115-'⚙ Parámetros'!E19))),1)),0)</f>
        <v>8.0351483057098907</v>
      </c>
      <c r="AG115" s="80">
        <f>IFERROR((35/100*MAX('⚙ Parámetros'!D20/(1+2^(-'⚙ Parámetros'!C20*(Y115-'⚙ Parámetros'!B20))),'⚙ Parámetros'!G20/(1+2^(-'⚙ Parámetros'!F20*(Y115-'⚙ Parámetros'!E20))),1)*Y115+35/100*MAX('⚙ Parámetros'!D20/(1+2^(-'⚙ Parámetros'!C20*(Z115-'⚙ Parámetros'!B20))),'⚙ Parámetros'!G20/(1+2^(-'⚙ Parámetros'!F20*(Z115-'⚙ Parámetros'!E20))),1)*Z115+30/100*MAX('⚙ Parámetros'!D20/(1+2^(-'⚙ Parámetros'!C20*(AA115-'⚙ Parámetros'!B20))),'⚙ Parámetros'!G20/(1+2^(-'⚙ Parámetros'!F20*(AA115-'⚙ Parámetros'!E20))),1)*AA115)/(35/100*MAX('⚙ Parámetros'!D20/(1+2^(-'⚙ Parámetros'!C20*(Y115-'⚙ Parámetros'!B20))),'⚙ Parámetros'!G20/(1+2^(-'⚙ Parámetros'!F20*(Y115-'⚙ Parámetros'!E20))),1)+35/100*MAX('⚙ Parámetros'!D20/(1+2^(-'⚙ Parámetros'!C20*(Z115-'⚙ Parámetros'!B20))),'⚙ Parámetros'!G20/(1+2^(-'⚙ Parámetros'!F20*(Z115-'⚙ Parámetros'!E20))),1)+30/100*MAX('⚙ Parámetros'!D20/(1+2^(-'⚙ Parámetros'!C20*(AA115-'⚙ Parámetros'!B20))),'⚙ Parámetros'!G20/(1+2^(-'⚙ Parámetros'!F20*(AA115-'⚙ Parámetros'!E20))),1)),0)</f>
        <v>3.7272727272727275</v>
      </c>
      <c r="AH115" s="81">
        <f>('⚙ Parámetros'!B5/100*AB115+'⚙ Parámetros'!B6/100*AC115+'⚙ Parámetros'!B7/100*AD115+'⚙ Parámetros'!B8/100*AE115+'⚙ Parámetros'!B9/100*AF115+'⚙ Parámetros'!B10/100*AG115)</f>
        <v>2.8633093731368833</v>
      </c>
      <c r="AI115" s="33">
        <f ca="1">MIN(1+MAX(0,TODAY()-DATE(2024,9,13))/365*'⚙ Parámetros'!B33,'⚙ Parámetros'!B34)</f>
        <v>1.25</v>
      </c>
      <c r="AJ115" s="82">
        <f t="shared" ca="1" si="6"/>
        <v>3.5791367164211039</v>
      </c>
      <c r="AK115" s="83" t="str">
        <f ca="1">IF(AB115&gt;='⚙ Parámetros'!B23,"⚑ AUTO-PRIOR.(D1≥8)",IF(AJ115&gt;='⚙ Parámetros'!B23,"PRIORITARIO",IF(AJ115&gt;='⚙ Parámetros'!B24,"ALTA PRIORIDAD",IF(AJ115&gt;='⚙ Parámetros'!B25,"PRIORIDAD MEDIA",IF(AJ115&gt;='⚙ Parámetros'!B26,"BAJA PRIORIDAD","DESCARTAR")))))</f>
        <v>DESCARTAR</v>
      </c>
      <c r="AL115" s="84" t="str">
        <f t="shared" si="7"/>
        <v>—</v>
      </c>
      <c r="AM115" s="85">
        <v>45</v>
      </c>
      <c r="AN115" s="83" t="str">
        <f>IF(AM115="","—",IF(AM115&lt;'⚙ Parámetros'!B29,"🟢 Corto",IF(AM115&lt;'⚙ Parámetros'!B30,"🟡 Medio","🔴 Largo")))</f>
        <v>🟡 Medio</v>
      </c>
    </row>
    <row r="116" spans="1:40" ht="18.75" customHeight="1" x14ac:dyDescent="0.25">
      <c r="A116" s="69">
        <v>112</v>
      </c>
      <c r="B116" s="30" t="s">
        <v>346</v>
      </c>
      <c r="C116" s="26" t="s">
        <v>135</v>
      </c>
      <c r="D116" s="71" t="s">
        <v>136</v>
      </c>
      <c r="E116" s="72" t="s">
        <v>347</v>
      </c>
      <c r="F116" s="74">
        <v>1</v>
      </c>
      <c r="G116" s="74">
        <v>1</v>
      </c>
      <c r="H116" s="74">
        <v>1</v>
      </c>
      <c r="I116" s="74">
        <v>1</v>
      </c>
      <c r="J116" s="74">
        <v>1</v>
      </c>
      <c r="K116" s="74">
        <v>1</v>
      </c>
      <c r="L116" s="74">
        <v>1</v>
      </c>
      <c r="M116" s="86">
        <v>3</v>
      </c>
      <c r="N116" s="74">
        <v>1</v>
      </c>
      <c r="O116" s="74">
        <v>1</v>
      </c>
      <c r="P116" s="74">
        <v>1</v>
      </c>
      <c r="Q116" s="74">
        <v>1</v>
      </c>
      <c r="R116" s="76">
        <v>9</v>
      </c>
      <c r="S116" s="76">
        <v>9</v>
      </c>
      <c r="T116" s="86">
        <v>5</v>
      </c>
      <c r="U116" s="86">
        <v>5</v>
      </c>
      <c r="V116" s="77">
        <v>8</v>
      </c>
      <c r="W116" s="86">
        <v>6</v>
      </c>
      <c r="X116" s="77">
        <v>9</v>
      </c>
      <c r="Y116" s="86">
        <v>4</v>
      </c>
      <c r="Z116" s="74">
        <v>2</v>
      </c>
      <c r="AA116" s="86">
        <v>5</v>
      </c>
      <c r="AB116" s="89">
        <f>IFERROR((30/100*MAX('⚙ Parámetros'!D15/(1+2^(-'⚙ Parámetros'!C15*(F116-'⚙ Parámetros'!B15))),'⚙ Parámetros'!G15/(1+2^(-'⚙ Parámetros'!F15*(F116-'⚙ Parámetros'!E15))),1)*F116+30/100*MAX('⚙ Parámetros'!D15/(1+2^(-'⚙ Parámetros'!C15*(G116-'⚙ Parámetros'!B15))),'⚙ Parámetros'!G15/(1+2^(-'⚙ Parámetros'!F15*(G116-'⚙ Parámetros'!E15))),1)*G116+20/100*MAX('⚙ Parámetros'!D15/(1+2^(-'⚙ Parámetros'!C15*(H116-'⚙ Parámetros'!B15))),'⚙ Parámetros'!G15/(1+2^(-'⚙ Parámetros'!F15*(H116-'⚙ Parámetros'!E15))),1)*H116+20/100*MAX('⚙ Parámetros'!D15/(1+2^(-'⚙ Parámetros'!C15*(I116-'⚙ Parámetros'!B15))),'⚙ Parámetros'!G15/(1+2^(-'⚙ Parámetros'!F15*(I116-'⚙ Parámetros'!E15))),1)*I116)/(30/100*MAX('⚙ Parámetros'!D15/(1+2^(-'⚙ Parámetros'!C15*(F116-'⚙ Parámetros'!B15))),'⚙ Parámetros'!G15/(1+2^(-'⚙ Parámetros'!F15*(F116-'⚙ Parámetros'!E15))),1)+30/100*MAX('⚙ Parámetros'!D15/(1+2^(-'⚙ Parámetros'!C15*(G116-'⚙ Parámetros'!B15))),'⚙ Parámetros'!G15/(1+2^(-'⚙ Parámetros'!F15*(G116-'⚙ Parámetros'!E15))),1)+20/100*MAX('⚙ Parámetros'!D15/(1+2^(-'⚙ Parámetros'!C15*(H116-'⚙ Parámetros'!B15))),'⚙ Parámetros'!G15/(1+2^(-'⚙ Parámetros'!F15*(H116-'⚙ Parámetros'!E15))),1)+20/100*MAX('⚙ Parámetros'!D15/(1+2^(-'⚙ Parámetros'!C15*(I116-'⚙ Parámetros'!B15))),'⚙ Parámetros'!G15/(1+2^(-'⚙ Parámetros'!F15*(I116-'⚙ Parámetros'!E15))),1)),0)</f>
        <v>1</v>
      </c>
      <c r="AC116" s="89">
        <f>IFERROR((35/100*MAX('⚙ Parámetros'!D16/(1+2^(-'⚙ Parámetros'!C16*(J116-'⚙ Parámetros'!B16))),'⚙ Parámetros'!G16/(1+2^(-'⚙ Parámetros'!F16*(J116-'⚙ Parámetros'!E16))),1)*J116+25/100*MAX('⚙ Parámetros'!D16/(1+2^(-'⚙ Parámetros'!C16*(K116-'⚙ Parámetros'!B16))),'⚙ Parámetros'!G16/(1+2^(-'⚙ Parámetros'!F16*(K116-'⚙ Parámetros'!E16))),1)*K116+20/100*MAX('⚙ Parámetros'!D16/(1+2^(-'⚙ Parámetros'!C16*(L116-'⚙ Parámetros'!B16))),'⚙ Parámetros'!G16/(1+2^(-'⚙ Parámetros'!F16*(L116-'⚙ Parámetros'!E16))),1)*L116+20/100*MAX('⚙ Parámetros'!D16/(1+2^(-'⚙ Parámetros'!C16*(M116-'⚙ Parámetros'!B16))),'⚙ Parámetros'!G16/(1+2^(-'⚙ Parámetros'!F16*(M116-'⚙ Parámetros'!E16))),1)*M116)/(35/100*MAX('⚙ Parámetros'!D16/(1+2^(-'⚙ Parámetros'!C16*(J116-'⚙ Parámetros'!B16))),'⚙ Parámetros'!G16/(1+2^(-'⚙ Parámetros'!F16*(J116-'⚙ Parámetros'!E16))),1)+25/100*MAX('⚙ Parámetros'!D16/(1+2^(-'⚙ Parámetros'!C16*(K116-'⚙ Parámetros'!B16))),'⚙ Parámetros'!G16/(1+2^(-'⚙ Parámetros'!F16*(K116-'⚙ Parámetros'!E16))),1)+20/100*MAX('⚙ Parámetros'!D16/(1+2^(-'⚙ Parámetros'!C16*(L116-'⚙ Parámetros'!B16))),'⚙ Parámetros'!G16/(1+2^(-'⚙ Parámetros'!F16*(L116-'⚙ Parámetros'!E16))),1)+20/100*MAX('⚙ Parámetros'!D16/(1+2^(-'⚙ Parámetros'!C16*(M116-'⚙ Parámetros'!B16))),'⚙ Parámetros'!G16/(1+2^(-'⚙ Parámetros'!F16*(M116-'⚙ Parámetros'!E16))),1)),0)</f>
        <v>1.4000000000000001</v>
      </c>
      <c r="AD116" s="89">
        <f>IFERROR((30/100*MAX('⚙ Parámetros'!D17/(1+2^(-'⚙ Parámetros'!C17*(N116-'⚙ Parámetros'!B17))),'⚙ Parámetros'!G17/(1+2^(-'⚙ Parámetros'!F17*(N116-'⚙ Parámetros'!E17))),1)*N116+25/100*MAX('⚙ Parámetros'!D17/(1+2^(-'⚙ Parámetros'!C17*(O116-'⚙ Parámetros'!B17))),'⚙ Parámetros'!G17/(1+2^(-'⚙ Parámetros'!F17*(O116-'⚙ Parámetros'!E17))),1)*O116+25/100*MAX('⚙ Parámetros'!D17/(1+2^(-'⚙ Parámetros'!C17*(P116-'⚙ Parámetros'!B17))),'⚙ Parámetros'!G17/(1+2^(-'⚙ Parámetros'!F17*(P116-'⚙ Parámetros'!E17))),1)*P116+20/100*MAX('⚙ Parámetros'!D17/(1+2^(-'⚙ Parámetros'!C17*(Q116-'⚙ Parámetros'!B17))),'⚙ Parámetros'!G17/(1+2^(-'⚙ Parámetros'!F17*(Q116-'⚙ Parámetros'!E17))),1)*Q116)/(30/100*MAX('⚙ Parámetros'!D17/(1+2^(-'⚙ Parámetros'!C17*(N116-'⚙ Parámetros'!B17))),'⚙ Parámetros'!G17/(1+2^(-'⚙ Parámetros'!F17*(N116-'⚙ Parámetros'!E17))),1)+25/100*MAX('⚙ Parámetros'!D17/(1+2^(-'⚙ Parámetros'!C17*(O116-'⚙ Parámetros'!B17))),'⚙ Parámetros'!G17/(1+2^(-'⚙ Parámetros'!F17*(O116-'⚙ Parámetros'!E17))),1)+25/100*MAX('⚙ Parámetros'!D17/(1+2^(-'⚙ Parámetros'!C17*(P116-'⚙ Parámetros'!B17))),'⚙ Parámetros'!G17/(1+2^(-'⚙ Parámetros'!F17*(P116-'⚙ Parámetros'!E17))),1)+20/100*MAX('⚙ Parámetros'!D17/(1+2^(-'⚙ Parámetros'!C17*(Q116-'⚙ Parámetros'!B17))),'⚙ Parámetros'!G17/(1+2^(-'⚙ Parámetros'!F17*(Q116-'⚙ Parámetros'!E17))),1)),0)</f>
        <v>1</v>
      </c>
      <c r="AE116" s="89">
        <f>IFERROR((30/100*MAX('⚙ Parámetros'!D18/(1+2^(-'⚙ Parámetros'!C18*(R116-'⚙ Parámetros'!B18))),'⚙ Parámetros'!G18/(1+2^(-'⚙ Parámetros'!F18*(R116-'⚙ Parámetros'!E18))),1)*R116+30/100*MAX('⚙ Parámetros'!D18/(1+2^(-'⚙ Parámetros'!C18*(S116-'⚙ Parámetros'!B18))),'⚙ Parámetros'!G18/(1+2^(-'⚙ Parámetros'!F18*(S116-'⚙ Parámetros'!E18))),1)*S116+20/100*MAX('⚙ Parámetros'!D18/(1+2^(-'⚙ Parámetros'!C18*(T116-'⚙ Parámetros'!B18))),'⚙ Parámetros'!G18/(1+2^(-'⚙ Parámetros'!F18*(T116-'⚙ Parámetros'!E18))),1)*T116+20/100*MAX('⚙ Parámetros'!D18/(1+2^(-'⚙ Parámetros'!C18*(U116-'⚙ Parámetros'!B18))),'⚙ Parámetros'!G18/(1+2^(-'⚙ Parámetros'!F18*(U116-'⚙ Parámetros'!E18))),1)*U116)/(30/100*MAX('⚙ Parámetros'!D18/(1+2^(-'⚙ Parámetros'!C18*(R116-'⚙ Parámetros'!B18))),'⚙ Parámetros'!G18/(1+2^(-'⚙ Parámetros'!F18*(R116-'⚙ Parámetros'!E18))),1)+30/100*MAX('⚙ Parámetros'!D18/(1+2^(-'⚙ Parámetros'!C18*(S116-'⚙ Parámetros'!B18))),'⚙ Parámetros'!G18/(1+2^(-'⚙ Parámetros'!F18*(S116-'⚙ Parámetros'!E18))),1)+20/100*MAX('⚙ Parámetros'!D18/(1+2^(-'⚙ Parámetros'!C18*(T116-'⚙ Parámetros'!B18))),'⚙ Parámetros'!G18/(1+2^(-'⚙ Parámetros'!F18*(T116-'⚙ Parámetros'!E18))),1)+20/100*MAX('⚙ Parámetros'!D18/(1+2^(-'⚙ Parámetros'!C18*(U116-'⚙ Parámetros'!B18))),'⚙ Parámetros'!G18/(1+2^(-'⚙ Parámetros'!F18*(U116-'⚙ Parámetros'!E18))),1)),0)</f>
        <v>8.1801060365339655</v>
      </c>
      <c r="AF116" s="89">
        <f>IFERROR((30/100*MAX('⚙ Parámetros'!D19/(1+2^(-'⚙ Parámetros'!C19*(V116-'⚙ Parámetros'!B19))),'⚙ Parámetros'!G19/(1+2^(-'⚙ Parámetros'!F19*(V116-'⚙ Parámetros'!E19))),1)*V116+35/100*MAX('⚙ Parámetros'!D19/(1+2^(-'⚙ Parámetros'!C19*(W116-'⚙ Parámetros'!B19))),'⚙ Parámetros'!G19/(1+2^(-'⚙ Parámetros'!F19*(W116-'⚙ Parámetros'!E19))),1)*W116+35/100*MAX('⚙ Parámetros'!D19/(1+2^(-'⚙ Parámetros'!C19*(X116-'⚙ Parámetros'!B19))),'⚙ Parámetros'!G19/(1+2^(-'⚙ Parámetros'!F19*(X116-'⚙ Parámetros'!E19))),1)*X116)/(30/100*MAX('⚙ Parámetros'!D19/(1+2^(-'⚙ Parámetros'!C19*(V116-'⚙ Parámetros'!B19))),'⚙ Parámetros'!G19/(1+2^(-'⚙ Parámetros'!F19*(V116-'⚙ Parámetros'!E19))),1)+35/100*MAX('⚙ Parámetros'!D19/(1+2^(-'⚙ Parámetros'!C19*(W116-'⚙ Parámetros'!B19))),'⚙ Parámetros'!G19/(1+2^(-'⚙ Parámetros'!F19*(W116-'⚙ Parámetros'!E19))),1)+35/100*MAX('⚙ Parámetros'!D19/(1+2^(-'⚙ Parámetros'!C19*(X116-'⚙ Parámetros'!B19))),'⚙ Parámetros'!G19/(1+2^(-'⚙ Parámetros'!F19*(X116-'⚙ Parámetros'!E19))),1)),0)</f>
        <v>8.0351483057098907</v>
      </c>
      <c r="AG116" s="89">
        <f>IFERROR((35/100*MAX('⚙ Parámetros'!D20/(1+2^(-'⚙ Parámetros'!C20*(Y116-'⚙ Parámetros'!B20))),'⚙ Parámetros'!G20/(1+2^(-'⚙ Parámetros'!F20*(Y116-'⚙ Parámetros'!E20))),1)*Y116+35/100*MAX('⚙ Parámetros'!D20/(1+2^(-'⚙ Parámetros'!C20*(Z116-'⚙ Parámetros'!B20))),'⚙ Parámetros'!G20/(1+2^(-'⚙ Parámetros'!F20*(Z116-'⚙ Parámetros'!E20))),1)*Z116+30/100*MAX('⚙ Parámetros'!D20/(1+2^(-'⚙ Parámetros'!C20*(AA116-'⚙ Parámetros'!B20))),'⚙ Parámetros'!G20/(1+2^(-'⚙ Parámetros'!F20*(AA116-'⚙ Parámetros'!E20))),1)*AA116)/(35/100*MAX('⚙ Parámetros'!D20/(1+2^(-'⚙ Parámetros'!C20*(Y116-'⚙ Parámetros'!B20))),'⚙ Parámetros'!G20/(1+2^(-'⚙ Parámetros'!F20*(Y116-'⚙ Parámetros'!E20))),1)+35/100*MAX('⚙ Parámetros'!D20/(1+2^(-'⚙ Parámetros'!C20*(Z116-'⚙ Parámetros'!B20))),'⚙ Parámetros'!G20/(1+2^(-'⚙ Parámetros'!F20*(Z116-'⚙ Parámetros'!E20))),1)+30/100*MAX('⚙ Parámetros'!D20/(1+2^(-'⚙ Parámetros'!C20*(AA116-'⚙ Parámetros'!B20))),'⚙ Parámetros'!G20/(1+2^(-'⚙ Parámetros'!F20*(AA116-'⚙ Parámetros'!E20))),1)),0)</f>
        <v>3.7272727272727275</v>
      </c>
      <c r="AH116" s="90">
        <f>('⚙ Parámetros'!B5/100*AB116+'⚙ Parámetros'!B6/100*AC116+'⚙ Parámetros'!B7/100*AD116+'⚙ Parámetros'!B8/100*AE116+'⚙ Parámetros'!B9/100*AF116+'⚙ Parámetros'!B10/100*AG116)</f>
        <v>2.8633093731368833</v>
      </c>
      <c r="AI116" s="91">
        <f ca="1">MIN(1+MAX(0,TODAY()-DATE(2023,1,26))/365*'⚙ Parámetros'!B33,'⚙ Parámetros'!B34)</f>
        <v>1.25</v>
      </c>
      <c r="AJ116" s="82">
        <f t="shared" ca="1" si="6"/>
        <v>3.5791367164211039</v>
      </c>
      <c r="AK116" s="92" t="str">
        <f ca="1">IF(AB116&gt;='⚙ Parámetros'!B23,"⚑ AUTO-PRIOR.(D1≥8)",IF(AJ116&gt;='⚙ Parámetros'!B23,"PRIORITARIO",IF(AJ116&gt;='⚙ Parámetros'!B24,"ALTA PRIORIDAD",IF(AJ116&gt;='⚙ Parámetros'!B25,"PRIORIDAD MEDIA",IF(AJ116&gt;='⚙ Parámetros'!B26,"BAJA PRIORIDAD","DESCARTAR")))))</f>
        <v>DESCARTAR</v>
      </c>
      <c r="AL116" s="69" t="str">
        <f t="shared" si="7"/>
        <v>—</v>
      </c>
      <c r="AM116" s="85">
        <v>13</v>
      </c>
      <c r="AN116" s="83" t="str">
        <f>IF(AM116="","—",IF(AM116&lt;'⚙ Parámetros'!B29,"🟢 Corto",IF(AM116&lt;'⚙ Parámetros'!B30,"🟡 Medio","🔴 Largo")))</f>
        <v>🟢 Corto</v>
      </c>
    </row>
    <row r="117" spans="1:40" ht="18.75" customHeight="1" x14ac:dyDescent="0.25">
      <c r="A117" s="69">
        <v>113</v>
      </c>
      <c r="B117" s="70" t="s">
        <v>348</v>
      </c>
      <c r="C117" s="4" t="s">
        <v>253</v>
      </c>
      <c r="D117" s="71" t="s">
        <v>139</v>
      </c>
      <c r="E117" s="72" t="s">
        <v>349</v>
      </c>
      <c r="F117" s="74">
        <v>1</v>
      </c>
      <c r="G117" s="74">
        <v>1</v>
      </c>
      <c r="H117" s="74">
        <v>1</v>
      </c>
      <c r="I117" s="74">
        <v>1</v>
      </c>
      <c r="J117" s="74">
        <v>1</v>
      </c>
      <c r="K117" s="74">
        <v>1</v>
      </c>
      <c r="L117" s="74">
        <v>1</v>
      </c>
      <c r="M117" s="73">
        <v>3</v>
      </c>
      <c r="N117" s="74">
        <v>1</v>
      </c>
      <c r="O117" s="74">
        <v>1</v>
      </c>
      <c r="P117" s="74">
        <v>1</v>
      </c>
      <c r="Q117" s="74">
        <v>1</v>
      </c>
      <c r="R117" s="73">
        <v>5</v>
      </c>
      <c r="S117" s="73">
        <v>5</v>
      </c>
      <c r="T117" s="73">
        <v>5</v>
      </c>
      <c r="U117" s="73">
        <v>5</v>
      </c>
      <c r="V117" s="77">
        <v>8</v>
      </c>
      <c r="W117" s="73">
        <v>6</v>
      </c>
      <c r="X117" s="77">
        <v>9</v>
      </c>
      <c r="Y117" s="78">
        <v>9</v>
      </c>
      <c r="Z117" s="74">
        <v>2</v>
      </c>
      <c r="AA117" s="78">
        <v>8</v>
      </c>
      <c r="AB117" s="80">
        <f>IFERROR((30/100*MAX('⚙ Parámetros'!D15/(1+2^(-'⚙ Parámetros'!C15*(F117-'⚙ Parámetros'!B15))),'⚙ Parámetros'!G15/(1+2^(-'⚙ Parámetros'!F15*(F117-'⚙ Parámetros'!E15))),1)*F117+30/100*MAX('⚙ Parámetros'!D15/(1+2^(-'⚙ Parámetros'!C15*(G117-'⚙ Parámetros'!B15))),'⚙ Parámetros'!G15/(1+2^(-'⚙ Parámetros'!F15*(G117-'⚙ Parámetros'!E15))),1)*G117+20/100*MAX('⚙ Parámetros'!D15/(1+2^(-'⚙ Parámetros'!C15*(H117-'⚙ Parámetros'!B15))),'⚙ Parámetros'!G15/(1+2^(-'⚙ Parámetros'!F15*(H117-'⚙ Parámetros'!E15))),1)*H117+20/100*MAX('⚙ Parámetros'!D15/(1+2^(-'⚙ Parámetros'!C15*(I117-'⚙ Parámetros'!B15))),'⚙ Parámetros'!G15/(1+2^(-'⚙ Parámetros'!F15*(I117-'⚙ Parámetros'!E15))),1)*I117)/(30/100*MAX('⚙ Parámetros'!D15/(1+2^(-'⚙ Parámetros'!C15*(F117-'⚙ Parámetros'!B15))),'⚙ Parámetros'!G15/(1+2^(-'⚙ Parámetros'!F15*(F117-'⚙ Parámetros'!E15))),1)+30/100*MAX('⚙ Parámetros'!D15/(1+2^(-'⚙ Parámetros'!C15*(G117-'⚙ Parámetros'!B15))),'⚙ Parámetros'!G15/(1+2^(-'⚙ Parámetros'!F15*(G117-'⚙ Parámetros'!E15))),1)+20/100*MAX('⚙ Parámetros'!D15/(1+2^(-'⚙ Parámetros'!C15*(H117-'⚙ Parámetros'!B15))),'⚙ Parámetros'!G15/(1+2^(-'⚙ Parámetros'!F15*(H117-'⚙ Parámetros'!E15))),1)+20/100*MAX('⚙ Parámetros'!D15/(1+2^(-'⚙ Parámetros'!C15*(I117-'⚙ Parámetros'!B15))),'⚙ Parámetros'!G15/(1+2^(-'⚙ Parámetros'!F15*(I117-'⚙ Parámetros'!E15))),1)),0)</f>
        <v>1</v>
      </c>
      <c r="AC117" s="80">
        <f>IFERROR((35/100*MAX('⚙ Parámetros'!D16/(1+2^(-'⚙ Parámetros'!C16*(J117-'⚙ Parámetros'!B16))),'⚙ Parámetros'!G16/(1+2^(-'⚙ Parámetros'!F16*(J117-'⚙ Parámetros'!E16))),1)*J117+25/100*MAX('⚙ Parámetros'!D16/(1+2^(-'⚙ Parámetros'!C16*(K117-'⚙ Parámetros'!B16))),'⚙ Parámetros'!G16/(1+2^(-'⚙ Parámetros'!F16*(K117-'⚙ Parámetros'!E16))),1)*K117+20/100*MAX('⚙ Parámetros'!D16/(1+2^(-'⚙ Parámetros'!C16*(L117-'⚙ Parámetros'!B16))),'⚙ Parámetros'!G16/(1+2^(-'⚙ Parámetros'!F16*(L117-'⚙ Parámetros'!E16))),1)*L117+20/100*MAX('⚙ Parámetros'!D16/(1+2^(-'⚙ Parámetros'!C16*(M117-'⚙ Parámetros'!B16))),'⚙ Parámetros'!G16/(1+2^(-'⚙ Parámetros'!F16*(M117-'⚙ Parámetros'!E16))),1)*M117)/(35/100*MAX('⚙ Parámetros'!D16/(1+2^(-'⚙ Parámetros'!C16*(J117-'⚙ Parámetros'!B16))),'⚙ Parámetros'!G16/(1+2^(-'⚙ Parámetros'!F16*(J117-'⚙ Parámetros'!E16))),1)+25/100*MAX('⚙ Parámetros'!D16/(1+2^(-'⚙ Parámetros'!C16*(K117-'⚙ Parámetros'!B16))),'⚙ Parámetros'!G16/(1+2^(-'⚙ Parámetros'!F16*(K117-'⚙ Parámetros'!E16))),1)+20/100*MAX('⚙ Parámetros'!D16/(1+2^(-'⚙ Parámetros'!C16*(L117-'⚙ Parámetros'!B16))),'⚙ Parámetros'!G16/(1+2^(-'⚙ Parámetros'!F16*(L117-'⚙ Parámetros'!E16))),1)+20/100*MAX('⚙ Parámetros'!D16/(1+2^(-'⚙ Parámetros'!C16*(M117-'⚙ Parámetros'!B16))),'⚙ Parámetros'!G16/(1+2^(-'⚙ Parámetros'!F16*(M117-'⚙ Parámetros'!E16))),1)),0)</f>
        <v>1.4000000000000001</v>
      </c>
      <c r="AD117" s="80">
        <f>IFERROR((30/100*MAX('⚙ Parámetros'!D17/(1+2^(-'⚙ Parámetros'!C17*(N117-'⚙ Parámetros'!B17))),'⚙ Parámetros'!G17/(1+2^(-'⚙ Parámetros'!F17*(N117-'⚙ Parámetros'!E17))),1)*N117+25/100*MAX('⚙ Parámetros'!D17/(1+2^(-'⚙ Parámetros'!C17*(O117-'⚙ Parámetros'!B17))),'⚙ Parámetros'!G17/(1+2^(-'⚙ Parámetros'!F17*(O117-'⚙ Parámetros'!E17))),1)*O117+25/100*MAX('⚙ Parámetros'!D17/(1+2^(-'⚙ Parámetros'!C17*(P117-'⚙ Parámetros'!B17))),'⚙ Parámetros'!G17/(1+2^(-'⚙ Parámetros'!F17*(P117-'⚙ Parámetros'!E17))),1)*P117+20/100*MAX('⚙ Parámetros'!D17/(1+2^(-'⚙ Parámetros'!C17*(Q117-'⚙ Parámetros'!B17))),'⚙ Parámetros'!G17/(1+2^(-'⚙ Parámetros'!F17*(Q117-'⚙ Parámetros'!E17))),1)*Q117)/(30/100*MAX('⚙ Parámetros'!D17/(1+2^(-'⚙ Parámetros'!C17*(N117-'⚙ Parámetros'!B17))),'⚙ Parámetros'!G17/(1+2^(-'⚙ Parámetros'!F17*(N117-'⚙ Parámetros'!E17))),1)+25/100*MAX('⚙ Parámetros'!D17/(1+2^(-'⚙ Parámetros'!C17*(O117-'⚙ Parámetros'!B17))),'⚙ Parámetros'!G17/(1+2^(-'⚙ Parámetros'!F17*(O117-'⚙ Parámetros'!E17))),1)+25/100*MAX('⚙ Parámetros'!D17/(1+2^(-'⚙ Parámetros'!C17*(P117-'⚙ Parámetros'!B17))),'⚙ Parámetros'!G17/(1+2^(-'⚙ Parámetros'!F17*(P117-'⚙ Parámetros'!E17))),1)+20/100*MAX('⚙ Parámetros'!D17/(1+2^(-'⚙ Parámetros'!C17*(Q117-'⚙ Parámetros'!B17))),'⚙ Parámetros'!G17/(1+2^(-'⚙ Parámetros'!F17*(Q117-'⚙ Parámetros'!E17))),1)),0)</f>
        <v>1</v>
      </c>
      <c r="AE117" s="80">
        <f>IFERROR((30/100*MAX('⚙ Parámetros'!D18/(1+2^(-'⚙ Parámetros'!C18*(R117-'⚙ Parámetros'!B18))),'⚙ Parámetros'!G18/(1+2^(-'⚙ Parámetros'!F18*(R117-'⚙ Parámetros'!E18))),1)*R117+30/100*MAX('⚙ Parámetros'!D18/(1+2^(-'⚙ Parámetros'!C18*(S117-'⚙ Parámetros'!B18))),'⚙ Parámetros'!G18/(1+2^(-'⚙ Parámetros'!F18*(S117-'⚙ Parámetros'!E18))),1)*S117+20/100*MAX('⚙ Parámetros'!D18/(1+2^(-'⚙ Parámetros'!C18*(T117-'⚙ Parámetros'!B18))),'⚙ Parámetros'!G18/(1+2^(-'⚙ Parámetros'!F18*(T117-'⚙ Parámetros'!E18))),1)*T117+20/100*MAX('⚙ Parámetros'!D18/(1+2^(-'⚙ Parámetros'!C18*(U117-'⚙ Parámetros'!B18))),'⚙ Parámetros'!G18/(1+2^(-'⚙ Parámetros'!F18*(U117-'⚙ Parámetros'!E18))),1)*U117)/(30/100*MAX('⚙ Parámetros'!D18/(1+2^(-'⚙ Parámetros'!C18*(R117-'⚙ Parámetros'!B18))),'⚙ Parámetros'!G18/(1+2^(-'⚙ Parámetros'!F18*(R117-'⚙ Parámetros'!E18))),1)+30/100*MAX('⚙ Parámetros'!D18/(1+2^(-'⚙ Parámetros'!C18*(S117-'⚙ Parámetros'!B18))),'⚙ Parámetros'!G18/(1+2^(-'⚙ Parámetros'!F18*(S117-'⚙ Parámetros'!E18))),1)+20/100*MAX('⚙ Parámetros'!D18/(1+2^(-'⚙ Parámetros'!C18*(T117-'⚙ Parámetros'!B18))),'⚙ Parámetros'!G18/(1+2^(-'⚙ Parámetros'!F18*(T117-'⚙ Parámetros'!E18))),1)+20/100*MAX('⚙ Parámetros'!D18/(1+2^(-'⚙ Parámetros'!C18*(U117-'⚙ Parámetros'!B18))),'⚙ Parámetros'!G18/(1+2^(-'⚙ Parámetros'!F18*(U117-'⚙ Parámetros'!E18))),1)),0)</f>
        <v>5</v>
      </c>
      <c r="AF117" s="80">
        <f>IFERROR((30/100*MAX('⚙ Parámetros'!D19/(1+2^(-'⚙ Parámetros'!C19*(V117-'⚙ Parámetros'!B19))),'⚙ Parámetros'!G19/(1+2^(-'⚙ Parámetros'!F19*(V117-'⚙ Parámetros'!E19))),1)*V117+35/100*MAX('⚙ Parámetros'!D19/(1+2^(-'⚙ Parámetros'!C19*(W117-'⚙ Parámetros'!B19))),'⚙ Parámetros'!G19/(1+2^(-'⚙ Parámetros'!F19*(W117-'⚙ Parámetros'!E19))),1)*W117+35/100*MAX('⚙ Parámetros'!D19/(1+2^(-'⚙ Parámetros'!C19*(X117-'⚙ Parámetros'!B19))),'⚙ Parámetros'!G19/(1+2^(-'⚙ Parámetros'!F19*(X117-'⚙ Parámetros'!E19))),1)*X117)/(30/100*MAX('⚙ Parámetros'!D19/(1+2^(-'⚙ Parámetros'!C19*(V117-'⚙ Parámetros'!B19))),'⚙ Parámetros'!G19/(1+2^(-'⚙ Parámetros'!F19*(V117-'⚙ Parámetros'!E19))),1)+35/100*MAX('⚙ Parámetros'!D19/(1+2^(-'⚙ Parámetros'!C19*(W117-'⚙ Parámetros'!B19))),'⚙ Parámetros'!G19/(1+2^(-'⚙ Parámetros'!F19*(W117-'⚙ Parámetros'!E19))),1)+35/100*MAX('⚙ Parámetros'!D19/(1+2^(-'⚙ Parámetros'!C19*(X117-'⚙ Parámetros'!B19))),'⚙ Parámetros'!G19/(1+2^(-'⚙ Parámetros'!F19*(X117-'⚙ Parámetros'!E19))),1)),0)</f>
        <v>8.0351483057098907</v>
      </c>
      <c r="AG117" s="80">
        <f>IFERROR((35/100*MAX('⚙ Parámetros'!D20/(1+2^(-'⚙ Parámetros'!C20*(Y117-'⚙ Parámetros'!B20))),'⚙ Parámetros'!G20/(1+2^(-'⚙ Parámetros'!F20*(Y117-'⚙ Parámetros'!E20))),1)*Y117+35/100*MAX('⚙ Parámetros'!D20/(1+2^(-'⚙ Parámetros'!C20*(Z117-'⚙ Parámetros'!B20))),'⚙ Parámetros'!G20/(1+2^(-'⚙ Parámetros'!F20*(Z117-'⚙ Parámetros'!E20))),1)*Z117+30/100*MAX('⚙ Parámetros'!D20/(1+2^(-'⚙ Parámetros'!C20*(AA117-'⚙ Parámetros'!B20))),'⚙ Parámetros'!G20/(1+2^(-'⚙ Parámetros'!F20*(AA117-'⚙ Parámetros'!E20))),1)*AA117)/(35/100*MAX('⚙ Parámetros'!D20/(1+2^(-'⚙ Parámetros'!C20*(Y117-'⚙ Parámetros'!B20))),'⚙ Parámetros'!G20/(1+2^(-'⚙ Parámetros'!F20*(Y117-'⚙ Parámetros'!E20))),1)+35/100*MAX('⚙ Parámetros'!D20/(1+2^(-'⚙ Parámetros'!C20*(Z117-'⚙ Parámetros'!B20))),'⚙ Parámetros'!G20/(1+2^(-'⚙ Parámetros'!F20*(Z117-'⚙ Parámetros'!E20))),1)+30/100*MAX('⚙ Parámetros'!D20/(1+2^(-'⚙ Parámetros'!C20*(AA117-'⚙ Parámetros'!B20))),'⚙ Parámetros'!G20/(1+2^(-'⚙ Parámetros'!F20*(AA117-'⚙ Parámetros'!E20))),1)),0)</f>
        <v>7.7358490566037741</v>
      </c>
      <c r="AH117" s="81">
        <f>('⚙ Parámetros'!B5/100*AB117+'⚙ Parámetros'!B6/100*AC117+'⚙ Parámetros'!B7/100*AD117+'⚙ Parámetros'!B8/100*AE117+'⚙ Parámetros'!B9/100*AF117+'⚙ Parámetros'!B10/100*AG117)</f>
        <v>2.8023827550992912</v>
      </c>
      <c r="AI117" s="33">
        <f ca="1">MIN(1+MAX(0,TODAY()-DATE(2024,9,17))/365*'⚙ Parámetros'!B33,'⚙ Parámetros'!B34)</f>
        <v>1.25</v>
      </c>
      <c r="AJ117" s="82">
        <f t="shared" ca="1" si="6"/>
        <v>3.5029784438741141</v>
      </c>
      <c r="AK117" s="83" t="str">
        <f ca="1">IF(AB117&gt;='⚙ Parámetros'!B23,"⚑ AUTO-PRIOR.(D1≥8)",IF(AJ117&gt;='⚙ Parámetros'!B23,"PRIORITARIO",IF(AJ117&gt;='⚙ Parámetros'!B24,"ALTA PRIORIDAD",IF(AJ117&gt;='⚙ Parámetros'!B25,"PRIORIDAD MEDIA",IF(AJ117&gt;='⚙ Parámetros'!B26,"BAJA PRIORIDAD","DESCARTAR")))))</f>
        <v>DESCARTAR</v>
      </c>
      <c r="AL117" s="84" t="str">
        <f t="shared" si="7"/>
        <v>—</v>
      </c>
      <c r="AM117" s="85">
        <v>37</v>
      </c>
      <c r="AN117" s="83" t="str">
        <f>IF(AM117="","—",IF(AM117&lt;'⚙ Parámetros'!B29,"🟢 Corto",IF(AM117&lt;'⚙ Parámetros'!B30,"🟡 Medio","🔴 Largo")))</f>
        <v>🟡 Medio</v>
      </c>
    </row>
    <row r="118" spans="1:40" ht="18.75" customHeight="1" x14ac:dyDescent="0.25">
      <c r="A118" s="69">
        <v>114</v>
      </c>
      <c r="B118" s="30" t="s">
        <v>350</v>
      </c>
      <c r="C118" s="26" t="s">
        <v>135</v>
      </c>
      <c r="D118" s="71" t="s">
        <v>139</v>
      </c>
      <c r="E118" s="72" t="s">
        <v>156</v>
      </c>
      <c r="F118" s="74">
        <v>1</v>
      </c>
      <c r="G118" s="74">
        <v>1</v>
      </c>
      <c r="H118" s="74">
        <v>1</v>
      </c>
      <c r="I118" s="74">
        <v>1</v>
      </c>
      <c r="J118" s="74">
        <v>1</v>
      </c>
      <c r="K118" s="74">
        <v>1</v>
      </c>
      <c r="L118" s="74">
        <v>1</v>
      </c>
      <c r="M118" s="86">
        <v>3</v>
      </c>
      <c r="N118" s="74">
        <v>1</v>
      </c>
      <c r="O118" s="86">
        <v>6</v>
      </c>
      <c r="P118" s="74">
        <v>1</v>
      </c>
      <c r="Q118" s="74">
        <v>1</v>
      </c>
      <c r="R118" s="86">
        <v>5</v>
      </c>
      <c r="S118" s="86">
        <v>5</v>
      </c>
      <c r="T118" s="86">
        <v>5</v>
      </c>
      <c r="U118" s="86">
        <v>5</v>
      </c>
      <c r="V118" s="86">
        <v>5</v>
      </c>
      <c r="W118" s="86">
        <v>6</v>
      </c>
      <c r="X118" s="86">
        <v>6</v>
      </c>
      <c r="Y118" s="86">
        <v>4</v>
      </c>
      <c r="Z118" s="74">
        <v>2</v>
      </c>
      <c r="AA118" s="86">
        <v>5</v>
      </c>
      <c r="AB118" s="89">
        <f>IFERROR((30/100*MAX('⚙ Parámetros'!D15/(1+2^(-'⚙ Parámetros'!C15*(F118-'⚙ Parámetros'!B15))),'⚙ Parámetros'!G15/(1+2^(-'⚙ Parámetros'!F15*(F118-'⚙ Parámetros'!E15))),1)*F118+30/100*MAX('⚙ Parámetros'!D15/(1+2^(-'⚙ Parámetros'!C15*(G118-'⚙ Parámetros'!B15))),'⚙ Parámetros'!G15/(1+2^(-'⚙ Parámetros'!F15*(G118-'⚙ Parámetros'!E15))),1)*G118+20/100*MAX('⚙ Parámetros'!D15/(1+2^(-'⚙ Parámetros'!C15*(H118-'⚙ Parámetros'!B15))),'⚙ Parámetros'!G15/(1+2^(-'⚙ Parámetros'!F15*(H118-'⚙ Parámetros'!E15))),1)*H118+20/100*MAX('⚙ Parámetros'!D15/(1+2^(-'⚙ Parámetros'!C15*(I118-'⚙ Parámetros'!B15))),'⚙ Parámetros'!G15/(1+2^(-'⚙ Parámetros'!F15*(I118-'⚙ Parámetros'!E15))),1)*I118)/(30/100*MAX('⚙ Parámetros'!D15/(1+2^(-'⚙ Parámetros'!C15*(F118-'⚙ Parámetros'!B15))),'⚙ Parámetros'!G15/(1+2^(-'⚙ Parámetros'!F15*(F118-'⚙ Parámetros'!E15))),1)+30/100*MAX('⚙ Parámetros'!D15/(1+2^(-'⚙ Parámetros'!C15*(G118-'⚙ Parámetros'!B15))),'⚙ Parámetros'!G15/(1+2^(-'⚙ Parámetros'!F15*(G118-'⚙ Parámetros'!E15))),1)+20/100*MAX('⚙ Parámetros'!D15/(1+2^(-'⚙ Parámetros'!C15*(H118-'⚙ Parámetros'!B15))),'⚙ Parámetros'!G15/(1+2^(-'⚙ Parámetros'!F15*(H118-'⚙ Parámetros'!E15))),1)+20/100*MAX('⚙ Parámetros'!D15/(1+2^(-'⚙ Parámetros'!C15*(I118-'⚙ Parámetros'!B15))),'⚙ Parámetros'!G15/(1+2^(-'⚙ Parámetros'!F15*(I118-'⚙ Parámetros'!E15))),1)),0)</f>
        <v>1</v>
      </c>
      <c r="AC118" s="89">
        <f>IFERROR((35/100*MAX('⚙ Parámetros'!D16/(1+2^(-'⚙ Parámetros'!C16*(J118-'⚙ Parámetros'!B16))),'⚙ Parámetros'!G16/(1+2^(-'⚙ Parámetros'!F16*(J118-'⚙ Parámetros'!E16))),1)*J118+25/100*MAX('⚙ Parámetros'!D16/(1+2^(-'⚙ Parámetros'!C16*(K118-'⚙ Parámetros'!B16))),'⚙ Parámetros'!G16/(1+2^(-'⚙ Parámetros'!F16*(K118-'⚙ Parámetros'!E16))),1)*K118+20/100*MAX('⚙ Parámetros'!D16/(1+2^(-'⚙ Parámetros'!C16*(L118-'⚙ Parámetros'!B16))),'⚙ Parámetros'!G16/(1+2^(-'⚙ Parámetros'!F16*(L118-'⚙ Parámetros'!E16))),1)*L118+20/100*MAX('⚙ Parámetros'!D16/(1+2^(-'⚙ Parámetros'!C16*(M118-'⚙ Parámetros'!B16))),'⚙ Parámetros'!G16/(1+2^(-'⚙ Parámetros'!F16*(M118-'⚙ Parámetros'!E16))),1)*M118)/(35/100*MAX('⚙ Parámetros'!D16/(1+2^(-'⚙ Parámetros'!C16*(J118-'⚙ Parámetros'!B16))),'⚙ Parámetros'!G16/(1+2^(-'⚙ Parámetros'!F16*(J118-'⚙ Parámetros'!E16))),1)+25/100*MAX('⚙ Parámetros'!D16/(1+2^(-'⚙ Parámetros'!C16*(K118-'⚙ Parámetros'!B16))),'⚙ Parámetros'!G16/(1+2^(-'⚙ Parámetros'!F16*(K118-'⚙ Parámetros'!E16))),1)+20/100*MAX('⚙ Parámetros'!D16/(1+2^(-'⚙ Parámetros'!C16*(L118-'⚙ Parámetros'!B16))),'⚙ Parámetros'!G16/(1+2^(-'⚙ Parámetros'!F16*(L118-'⚙ Parámetros'!E16))),1)+20/100*MAX('⚙ Parámetros'!D16/(1+2^(-'⚙ Parámetros'!C16*(M118-'⚙ Parámetros'!B16))),'⚙ Parámetros'!G16/(1+2^(-'⚙ Parámetros'!F16*(M118-'⚙ Parámetros'!E16))),1)),0)</f>
        <v>1.4000000000000001</v>
      </c>
      <c r="AD118" s="89">
        <f>IFERROR((30/100*MAX('⚙ Parámetros'!D17/(1+2^(-'⚙ Parámetros'!C17*(N118-'⚙ Parámetros'!B17))),'⚙ Parámetros'!G17/(1+2^(-'⚙ Parámetros'!F17*(N118-'⚙ Parámetros'!E17))),1)*N118+25/100*MAX('⚙ Parámetros'!D17/(1+2^(-'⚙ Parámetros'!C17*(O118-'⚙ Parámetros'!B17))),'⚙ Parámetros'!G17/(1+2^(-'⚙ Parámetros'!F17*(O118-'⚙ Parámetros'!E17))),1)*O118+25/100*MAX('⚙ Parámetros'!D17/(1+2^(-'⚙ Parámetros'!C17*(P118-'⚙ Parámetros'!B17))),'⚙ Parámetros'!G17/(1+2^(-'⚙ Parámetros'!F17*(P118-'⚙ Parámetros'!E17))),1)*P118+20/100*MAX('⚙ Parámetros'!D17/(1+2^(-'⚙ Parámetros'!C17*(Q118-'⚙ Parámetros'!B17))),'⚙ Parámetros'!G17/(1+2^(-'⚙ Parámetros'!F17*(Q118-'⚙ Parámetros'!E17))),1)*Q118)/(30/100*MAX('⚙ Parámetros'!D17/(1+2^(-'⚙ Parámetros'!C17*(N118-'⚙ Parámetros'!B17))),'⚙ Parámetros'!G17/(1+2^(-'⚙ Parámetros'!F17*(N118-'⚙ Parámetros'!E17))),1)+25/100*MAX('⚙ Parámetros'!D17/(1+2^(-'⚙ Parámetros'!C17*(O118-'⚙ Parámetros'!B17))),'⚙ Parámetros'!G17/(1+2^(-'⚙ Parámetros'!F17*(O118-'⚙ Parámetros'!E17))),1)+25/100*MAX('⚙ Parámetros'!D17/(1+2^(-'⚙ Parámetros'!C17*(P118-'⚙ Parámetros'!B17))),'⚙ Parámetros'!G17/(1+2^(-'⚙ Parámetros'!F17*(P118-'⚙ Parámetros'!E17))),1)+20/100*MAX('⚙ Parámetros'!D17/(1+2^(-'⚙ Parámetros'!C17*(Q118-'⚙ Parámetros'!B17))),'⚙ Parámetros'!G17/(1+2^(-'⚙ Parámetros'!F17*(Q118-'⚙ Parámetros'!E17))),1)),0)</f>
        <v>3.2222222222222223</v>
      </c>
      <c r="AE118" s="89">
        <f>IFERROR((30/100*MAX('⚙ Parámetros'!D18/(1+2^(-'⚙ Parámetros'!C18*(R118-'⚙ Parámetros'!B18))),'⚙ Parámetros'!G18/(1+2^(-'⚙ Parámetros'!F18*(R118-'⚙ Parámetros'!E18))),1)*R118+30/100*MAX('⚙ Parámetros'!D18/(1+2^(-'⚙ Parámetros'!C18*(S118-'⚙ Parámetros'!B18))),'⚙ Parámetros'!G18/(1+2^(-'⚙ Parámetros'!F18*(S118-'⚙ Parámetros'!E18))),1)*S118+20/100*MAX('⚙ Parámetros'!D18/(1+2^(-'⚙ Parámetros'!C18*(T118-'⚙ Parámetros'!B18))),'⚙ Parámetros'!G18/(1+2^(-'⚙ Parámetros'!F18*(T118-'⚙ Parámetros'!E18))),1)*T118+20/100*MAX('⚙ Parámetros'!D18/(1+2^(-'⚙ Parámetros'!C18*(U118-'⚙ Parámetros'!B18))),'⚙ Parámetros'!G18/(1+2^(-'⚙ Parámetros'!F18*(U118-'⚙ Parámetros'!E18))),1)*U118)/(30/100*MAX('⚙ Parámetros'!D18/(1+2^(-'⚙ Parámetros'!C18*(R118-'⚙ Parámetros'!B18))),'⚙ Parámetros'!G18/(1+2^(-'⚙ Parámetros'!F18*(R118-'⚙ Parámetros'!E18))),1)+30/100*MAX('⚙ Parámetros'!D18/(1+2^(-'⚙ Parámetros'!C18*(S118-'⚙ Parámetros'!B18))),'⚙ Parámetros'!G18/(1+2^(-'⚙ Parámetros'!F18*(S118-'⚙ Parámetros'!E18))),1)+20/100*MAX('⚙ Parámetros'!D18/(1+2^(-'⚙ Parámetros'!C18*(T118-'⚙ Parámetros'!B18))),'⚙ Parámetros'!G18/(1+2^(-'⚙ Parámetros'!F18*(T118-'⚙ Parámetros'!E18))),1)+20/100*MAX('⚙ Parámetros'!D18/(1+2^(-'⚙ Parámetros'!C18*(U118-'⚙ Parámetros'!B18))),'⚙ Parámetros'!G18/(1+2^(-'⚙ Parámetros'!F18*(U118-'⚙ Parámetros'!E18))),1)),0)</f>
        <v>5</v>
      </c>
      <c r="AF118" s="89">
        <f>IFERROR((30/100*MAX('⚙ Parámetros'!D19/(1+2^(-'⚙ Parámetros'!C19*(V118-'⚙ Parámetros'!B19))),'⚙ Parámetros'!G19/(1+2^(-'⚙ Parámetros'!F19*(V118-'⚙ Parámetros'!E19))),1)*V118+35/100*MAX('⚙ Parámetros'!D19/(1+2^(-'⚙ Parámetros'!C19*(W118-'⚙ Parámetros'!B19))),'⚙ Parámetros'!G19/(1+2^(-'⚙ Parámetros'!F19*(W118-'⚙ Parámetros'!E19))),1)*W118+35/100*MAX('⚙ Parámetros'!D19/(1+2^(-'⚙ Parámetros'!C19*(X118-'⚙ Parámetros'!B19))),'⚙ Parámetros'!G19/(1+2^(-'⚙ Parámetros'!F19*(X118-'⚙ Parámetros'!E19))),1)*X118)/(30/100*MAX('⚙ Parámetros'!D19/(1+2^(-'⚙ Parámetros'!C19*(V118-'⚙ Parámetros'!B19))),'⚙ Parámetros'!G19/(1+2^(-'⚙ Parámetros'!F19*(V118-'⚙ Parámetros'!E19))),1)+35/100*MAX('⚙ Parámetros'!D19/(1+2^(-'⚙ Parámetros'!C19*(W118-'⚙ Parámetros'!B19))),'⚙ Parámetros'!G19/(1+2^(-'⚙ Parámetros'!F19*(W118-'⚙ Parámetros'!E19))),1)+35/100*MAX('⚙ Parámetros'!D19/(1+2^(-'⚙ Parámetros'!C19*(X118-'⚙ Parámetros'!B19))),'⚙ Parámetros'!G19/(1+2^(-'⚙ Parámetros'!F19*(X118-'⚙ Parámetros'!E19))),1)),0)</f>
        <v>5.7368421052631575</v>
      </c>
      <c r="AG118" s="89">
        <f>IFERROR((35/100*MAX('⚙ Parámetros'!D20/(1+2^(-'⚙ Parámetros'!C20*(Y118-'⚙ Parámetros'!B20))),'⚙ Parámetros'!G20/(1+2^(-'⚙ Parámetros'!F20*(Y118-'⚙ Parámetros'!E20))),1)*Y118+35/100*MAX('⚙ Parámetros'!D20/(1+2^(-'⚙ Parámetros'!C20*(Z118-'⚙ Parámetros'!B20))),'⚙ Parámetros'!G20/(1+2^(-'⚙ Parámetros'!F20*(Z118-'⚙ Parámetros'!E20))),1)*Z118+30/100*MAX('⚙ Parámetros'!D20/(1+2^(-'⚙ Parámetros'!C20*(AA118-'⚙ Parámetros'!B20))),'⚙ Parámetros'!G20/(1+2^(-'⚙ Parámetros'!F20*(AA118-'⚙ Parámetros'!E20))),1)*AA118)/(35/100*MAX('⚙ Parámetros'!D20/(1+2^(-'⚙ Parámetros'!C20*(Y118-'⚙ Parámetros'!B20))),'⚙ Parámetros'!G20/(1+2^(-'⚙ Parámetros'!F20*(Y118-'⚙ Parámetros'!E20))),1)+35/100*MAX('⚙ Parámetros'!D20/(1+2^(-'⚙ Parámetros'!C20*(Z118-'⚙ Parámetros'!B20))),'⚙ Parámetros'!G20/(1+2^(-'⚙ Parámetros'!F20*(Z118-'⚙ Parámetros'!E20))),1)+30/100*MAX('⚙ Parámetros'!D20/(1+2^(-'⚙ Parámetros'!C20*(AA118-'⚙ Parámetros'!B20))),'⚙ Parámetros'!G20/(1+2^(-'⚙ Parámetros'!F20*(AA118-'⚙ Parámetros'!E20))),1)),0)</f>
        <v>3.7272727272727275</v>
      </c>
      <c r="AH118" s="90">
        <f>('⚙ Parámetros'!B5/100*AB118+'⚙ Parámetros'!B6/100*AC118+'⚙ Parámetros'!B7/100*AD118+'⚙ Parámetros'!B8/100*AE118+'⚙ Parámetros'!B9/100*AF118+'⚙ Parámetros'!B10/100*AG118)</f>
        <v>2.6963104731525784</v>
      </c>
      <c r="AI118" s="91">
        <f ca="1">MIN(1+MAX(0,TODAY()-DATE(2026,5,14))/365*'⚙ Parámetros'!B33,'⚙ Parámetros'!B34)</f>
        <v>1.011917808219178</v>
      </c>
      <c r="AJ118" s="82">
        <f t="shared" ca="1" si="6"/>
        <v>2.7284445842709717</v>
      </c>
      <c r="AK118" s="92" t="str">
        <f ca="1">IF(AB118&gt;='⚙ Parámetros'!B23,"⚑ AUTO-PRIOR.(D1≥8)",IF(AJ118&gt;='⚙ Parámetros'!B23,"PRIORITARIO",IF(AJ118&gt;='⚙ Parámetros'!B24,"ALTA PRIORIDAD",IF(AJ118&gt;='⚙ Parámetros'!B25,"PRIORIDAD MEDIA",IF(AJ118&gt;='⚙ Parámetros'!B26,"BAJA PRIORIDAD","DESCARTAR")))))</f>
        <v>DESCARTAR</v>
      </c>
      <c r="AL118" s="69" t="str">
        <f t="shared" si="7"/>
        <v>—</v>
      </c>
      <c r="AM118" s="85">
        <v>18</v>
      </c>
      <c r="AN118" s="83" t="str">
        <f>IF(AM118="","—",IF(AM118&lt;'⚙ Parámetros'!B29,"🟢 Corto",IF(AM118&lt;'⚙ Parámetros'!B30,"🟡 Medio","🔴 Largo")))</f>
        <v>🟢 Corto</v>
      </c>
    </row>
    <row r="119" spans="1:40" ht="18.75" customHeight="1" x14ac:dyDescent="0.25">
      <c r="A119" s="69">
        <v>115</v>
      </c>
      <c r="B119" s="70" t="s">
        <v>351</v>
      </c>
      <c r="C119" s="4" t="s">
        <v>231</v>
      </c>
      <c r="D119" s="71" t="s">
        <v>298</v>
      </c>
      <c r="E119" s="72" t="s">
        <v>352</v>
      </c>
      <c r="F119" s="74">
        <v>1</v>
      </c>
      <c r="G119" s="74">
        <v>1</v>
      </c>
      <c r="H119" s="74">
        <v>1</v>
      </c>
      <c r="I119" s="74">
        <v>1</v>
      </c>
      <c r="J119" s="74">
        <v>1</v>
      </c>
      <c r="K119" s="74">
        <v>1</v>
      </c>
      <c r="L119" s="74">
        <v>1</v>
      </c>
      <c r="M119" s="73">
        <v>3</v>
      </c>
      <c r="N119" s="74">
        <v>1</v>
      </c>
      <c r="O119" s="73">
        <v>6</v>
      </c>
      <c r="P119" s="74">
        <v>1</v>
      </c>
      <c r="Q119" s="74">
        <v>1</v>
      </c>
      <c r="R119" s="73">
        <v>5</v>
      </c>
      <c r="S119" s="73">
        <v>5</v>
      </c>
      <c r="T119" s="73">
        <v>5</v>
      </c>
      <c r="U119" s="73">
        <v>5</v>
      </c>
      <c r="V119" s="73">
        <v>5</v>
      </c>
      <c r="W119" s="73">
        <v>6</v>
      </c>
      <c r="X119" s="73">
        <v>6</v>
      </c>
      <c r="Y119" s="73">
        <v>4</v>
      </c>
      <c r="Z119" s="74">
        <v>2</v>
      </c>
      <c r="AA119" s="73">
        <v>5</v>
      </c>
      <c r="AB119" s="80">
        <f>IFERROR((30/100*MAX('⚙ Parámetros'!D15/(1+2^(-'⚙ Parámetros'!C15*(F119-'⚙ Parámetros'!B15))),'⚙ Parámetros'!G15/(1+2^(-'⚙ Parámetros'!F15*(F119-'⚙ Parámetros'!E15))),1)*F119+30/100*MAX('⚙ Parámetros'!D15/(1+2^(-'⚙ Parámetros'!C15*(G119-'⚙ Parámetros'!B15))),'⚙ Parámetros'!G15/(1+2^(-'⚙ Parámetros'!F15*(G119-'⚙ Parámetros'!E15))),1)*G119+20/100*MAX('⚙ Parámetros'!D15/(1+2^(-'⚙ Parámetros'!C15*(H119-'⚙ Parámetros'!B15))),'⚙ Parámetros'!G15/(1+2^(-'⚙ Parámetros'!F15*(H119-'⚙ Parámetros'!E15))),1)*H119+20/100*MAX('⚙ Parámetros'!D15/(1+2^(-'⚙ Parámetros'!C15*(I119-'⚙ Parámetros'!B15))),'⚙ Parámetros'!G15/(1+2^(-'⚙ Parámetros'!F15*(I119-'⚙ Parámetros'!E15))),1)*I119)/(30/100*MAX('⚙ Parámetros'!D15/(1+2^(-'⚙ Parámetros'!C15*(F119-'⚙ Parámetros'!B15))),'⚙ Parámetros'!G15/(1+2^(-'⚙ Parámetros'!F15*(F119-'⚙ Parámetros'!E15))),1)+30/100*MAX('⚙ Parámetros'!D15/(1+2^(-'⚙ Parámetros'!C15*(G119-'⚙ Parámetros'!B15))),'⚙ Parámetros'!G15/(1+2^(-'⚙ Parámetros'!F15*(G119-'⚙ Parámetros'!E15))),1)+20/100*MAX('⚙ Parámetros'!D15/(1+2^(-'⚙ Parámetros'!C15*(H119-'⚙ Parámetros'!B15))),'⚙ Parámetros'!G15/(1+2^(-'⚙ Parámetros'!F15*(H119-'⚙ Parámetros'!E15))),1)+20/100*MAX('⚙ Parámetros'!D15/(1+2^(-'⚙ Parámetros'!C15*(I119-'⚙ Parámetros'!B15))),'⚙ Parámetros'!G15/(1+2^(-'⚙ Parámetros'!F15*(I119-'⚙ Parámetros'!E15))),1)),0)</f>
        <v>1</v>
      </c>
      <c r="AC119" s="80">
        <f>IFERROR((35/100*MAX('⚙ Parámetros'!D16/(1+2^(-'⚙ Parámetros'!C16*(J119-'⚙ Parámetros'!B16))),'⚙ Parámetros'!G16/(1+2^(-'⚙ Parámetros'!F16*(J119-'⚙ Parámetros'!E16))),1)*J119+25/100*MAX('⚙ Parámetros'!D16/(1+2^(-'⚙ Parámetros'!C16*(K119-'⚙ Parámetros'!B16))),'⚙ Parámetros'!G16/(1+2^(-'⚙ Parámetros'!F16*(K119-'⚙ Parámetros'!E16))),1)*K119+20/100*MAX('⚙ Parámetros'!D16/(1+2^(-'⚙ Parámetros'!C16*(L119-'⚙ Parámetros'!B16))),'⚙ Parámetros'!G16/(1+2^(-'⚙ Parámetros'!F16*(L119-'⚙ Parámetros'!E16))),1)*L119+20/100*MAX('⚙ Parámetros'!D16/(1+2^(-'⚙ Parámetros'!C16*(M119-'⚙ Parámetros'!B16))),'⚙ Parámetros'!G16/(1+2^(-'⚙ Parámetros'!F16*(M119-'⚙ Parámetros'!E16))),1)*M119)/(35/100*MAX('⚙ Parámetros'!D16/(1+2^(-'⚙ Parámetros'!C16*(J119-'⚙ Parámetros'!B16))),'⚙ Parámetros'!G16/(1+2^(-'⚙ Parámetros'!F16*(J119-'⚙ Parámetros'!E16))),1)+25/100*MAX('⚙ Parámetros'!D16/(1+2^(-'⚙ Parámetros'!C16*(K119-'⚙ Parámetros'!B16))),'⚙ Parámetros'!G16/(1+2^(-'⚙ Parámetros'!F16*(K119-'⚙ Parámetros'!E16))),1)+20/100*MAX('⚙ Parámetros'!D16/(1+2^(-'⚙ Parámetros'!C16*(L119-'⚙ Parámetros'!B16))),'⚙ Parámetros'!G16/(1+2^(-'⚙ Parámetros'!F16*(L119-'⚙ Parámetros'!E16))),1)+20/100*MAX('⚙ Parámetros'!D16/(1+2^(-'⚙ Parámetros'!C16*(M119-'⚙ Parámetros'!B16))),'⚙ Parámetros'!G16/(1+2^(-'⚙ Parámetros'!F16*(M119-'⚙ Parámetros'!E16))),1)),0)</f>
        <v>1.4000000000000001</v>
      </c>
      <c r="AD119" s="80">
        <f>IFERROR((30/100*MAX('⚙ Parámetros'!D17/(1+2^(-'⚙ Parámetros'!C17*(N119-'⚙ Parámetros'!B17))),'⚙ Parámetros'!G17/(1+2^(-'⚙ Parámetros'!F17*(N119-'⚙ Parámetros'!E17))),1)*N119+25/100*MAX('⚙ Parámetros'!D17/(1+2^(-'⚙ Parámetros'!C17*(O119-'⚙ Parámetros'!B17))),'⚙ Parámetros'!G17/(1+2^(-'⚙ Parámetros'!F17*(O119-'⚙ Parámetros'!E17))),1)*O119+25/100*MAX('⚙ Parámetros'!D17/(1+2^(-'⚙ Parámetros'!C17*(P119-'⚙ Parámetros'!B17))),'⚙ Parámetros'!G17/(1+2^(-'⚙ Parámetros'!F17*(P119-'⚙ Parámetros'!E17))),1)*P119+20/100*MAX('⚙ Parámetros'!D17/(1+2^(-'⚙ Parámetros'!C17*(Q119-'⚙ Parámetros'!B17))),'⚙ Parámetros'!G17/(1+2^(-'⚙ Parámetros'!F17*(Q119-'⚙ Parámetros'!E17))),1)*Q119)/(30/100*MAX('⚙ Parámetros'!D17/(1+2^(-'⚙ Parámetros'!C17*(N119-'⚙ Parámetros'!B17))),'⚙ Parámetros'!G17/(1+2^(-'⚙ Parámetros'!F17*(N119-'⚙ Parámetros'!E17))),1)+25/100*MAX('⚙ Parámetros'!D17/(1+2^(-'⚙ Parámetros'!C17*(O119-'⚙ Parámetros'!B17))),'⚙ Parámetros'!G17/(1+2^(-'⚙ Parámetros'!F17*(O119-'⚙ Parámetros'!E17))),1)+25/100*MAX('⚙ Parámetros'!D17/(1+2^(-'⚙ Parámetros'!C17*(P119-'⚙ Parámetros'!B17))),'⚙ Parámetros'!G17/(1+2^(-'⚙ Parámetros'!F17*(P119-'⚙ Parámetros'!E17))),1)+20/100*MAX('⚙ Parámetros'!D17/(1+2^(-'⚙ Parámetros'!C17*(Q119-'⚙ Parámetros'!B17))),'⚙ Parámetros'!G17/(1+2^(-'⚙ Parámetros'!F17*(Q119-'⚙ Parámetros'!E17))),1)),0)</f>
        <v>3.2222222222222223</v>
      </c>
      <c r="AE119" s="80">
        <f>IFERROR((30/100*MAX('⚙ Parámetros'!D18/(1+2^(-'⚙ Parámetros'!C18*(R119-'⚙ Parámetros'!B18))),'⚙ Parámetros'!G18/(1+2^(-'⚙ Parámetros'!F18*(R119-'⚙ Parámetros'!E18))),1)*R119+30/100*MAX('⚙ Parámetros'!D18/(1+2^(-'⚙ Parámetros'!C18*(S119-'⚙ Parámetros'!B18))),'⚙ Parámetros'!G18/(1+2^(-'⚙ Parámetros'!F18*(S119-'⚙ Parámetros'!E18))),1)*S119+20/100*MAX('⚙ Parámetros'!D18/(1+2^(-'⚙ Parámetros'!C18*(T119-'⚙ Parámetros'!B18))),'⚙ Parámetros'!G18/(1+2^(-'⚙ Parámetros'!F18*(T119-'⚙ Parámetros'!E18))),1)*T119+20/100*MAX('⚙ Parámetros'!D18/(1+2^(-'⚙ Parámetros'!C18*(U119-'⚙ Parámetros'!B18))),'⚙ Parámetros'!G18/(1+2^(-'⚙ Parámetros'!F18*(U119-'⚙ Parámetros'!E18))),1)*U119)/(30/100*MAX('⚙ Parámetros'!D18/(1+2^(-'⚙ Parámetros'!C18*(R119-'⚙ Parámetros'!B18))),'⚙ Parámetros'!G18/(1+2^(-'⚙ Parámetros'!F18*(R119-'⚙ Parámetros'!E18))),1)+30/100*MAX('⚙ Parámetros'!D18/(1+2^(-'⚙ Parámetros'!C18*(S119-'⚙ Parámetros'!B18))),'⚙ Parámetros'!G18/(1+2^(-'⚙ Parámetros'!F18*(S119-'⚙ Parámetros'!E18))),1)+20/100*MAX('⚙ Parámetros'!D18/(1+2^(-'⚙ Parámetros'!C18*(T119-'⚙ Parámetros'!B18))),'⚙ Parámetros'!G18/(1+2^(-'⚙ Parámetros'!F18*(T119-'⚙ Parámetros'!E18))),1)+20/100*MAX('⚙ Parámetros'!D18/(1+2^(-'⚙ Parámetros'!C18*(U119-'⚙ Parámetros'!B18))),'⚙ Parámetros'!G18/(1+2^(-'⚙ Parámetros'!F18*(U119-'⚙ Parámetros'!E18))),1)),0)</f>
        <v>5</v>
      </c>
      <c r="AF119" s="80">
        <f>IFERROR((30/100*MAX('⚙ Parámetros'!D19/(1+2^(-'⚙ Parámetros'!C19*(V119-'⚙ Parámetros'!B19))),'⚙ Parámetros'!G19/(1+2^(-'⚙ Parámetros'!F19*(V119-'⚙ Parámetros'!E19))),1)*V119+35/100*MAX('⚙ Parámetros'!D19/(1+2^(-'⚙ Parámetros'!C19*(W119-'⚙ Parámetros'!B19))),'⚙ Parámetros'!G19/(1+2^(-'⚙ Parámetros'!F19*(W119-'⚙ Parámetros'!E19))),1)*W119+35/100*MAX('⚙ Parámetros'!D19/(1+2^(-'⚙ Parámetros'!C19*(X119-'⚙ Parámetros'!B19))),'⚙ Parámetros'!G19/(1+2^(-'⚙ Parámetros'!F19*(X119-'⚙ Parámetros'!E19))),1)*X119)/(30/100*MAX('⚙ Parámetros'!D19/(1+2^(-'⚙ Parámetros'!C19*(V119-'⚙ Parámetros'!B19))),'⚙ Parámetros'!G19/(1+2^(-'⚙ Parámetros'!F19*(V119-'⚙ Parámetros'!E19))),1)+35/100*MAX('⚙ Parámetros'!D19/(1+2^(-'⚙ Parámetros'!C19*(W119-'⚙ Parámetros'!B19))),'⚙ Parámetros'!G19/(1+2^(-'⚙ Parámetros'!F19*(W119-'⚙ Parámetros'!E19))),1)+35/100*MAX('⚙ Parámetros'!D19/(1+2^(-'⚙ Parámetros'!C19*(X119-'⚙ Parámetros'!B19))),'⚙ Parámetros'!G19/(1+2^(-'⚙ Parámetros'!F19*(X119-'⚙ Parámetros'!E19))),1)),0)</f>
        <v>5.7368421052631575</v>
      </c>
      <c r="AG119" s="80">
        <f>IFERROR((35/100*MAX('⚙ Parámetros'!D20/(1+2^(-'⚙ Parámetros'!C20*(Y119-'⚙ Parámetros'!B20))),'⚙ Parámetros'!G20/(1+2^(-'⚙ Parámetros'!F20*(Y119-'⚙ Parámetros'!E20))),1)*Y119+35/100*MAX('⚙ Parámetros'!D20/(1+2^(-'⚙ Parámetros'!C20*(Z119-'⚙ Parámetros'!B20))),'⚙ Parámetros'!G20/(1+2^(-'⚙ Parámetros'!F20*(Z119-'⚙ Parámetros'!E20))),1)*Z119+30/100*MAX('⚙ Parámetros'!D20/(1+2^(-'⚙ Parámetros'!C20*(AA119-'⚙ Parámetros'!B20))),'⚙ Parámetros'!G20/(1+2^(-'⚙ Parámetros'!F20*(AA119-'⚙ Parámetros'!E20))),1)*AA119)/(35/100*MAX('⚙ Parámetros'!D20/(1+2^(-'⚙ Parámetros'!C20*(Y119-'⚙ Parámetros'!B20))),'⚙ Parámetros'!G20/(1+2^(-'⚙ Parámetros'!F20*(Y119-'⚙ Parámetros'!E20))),1)+35/100*MAX('⚙ Parámetros'!D20/(1+2^(-'⚙ Parámetros'!C20*(Z119-'⚙ Parámetros'!B20))),'⚙ Parámetros'!G20/(1+2^(-'⚙ Parámetros'!F20*(Z119-'⚙ Parámetros'!E20))),1)+30/100*MAX('⚙ Parámetros'!D20/(1+2^(-'⚙ Parámetros'!C20*(AA119-'⚙ Parámetros'!B20))),'⚙ Parámetros'!G20/(1+2^(-'⚙ Parámetros'!F20*(AA119-'⚙ Parámetros'!E20))),1)),0)</f>
        <v>3.7272727272727275</v>
      </c>
      <c r="AH119" s="81">
        <f>('⚙ Parámetros'!B5/100*AB119+'⚙ Parámetros'!B6/100*AC119+'⚙ Parámetros'!B7/100*AD119+'⚙ Parámetros'!B8/100*AE119+'⚙ Parámetros'!B9/100*AF119+'⚙ Parámetros'!B10/100*AG119)</f>
        <v>2.6963104731525784</v>
      </c>
      <c r="AI119" s="33">
        <f ca="1">MIN(1+MAX(0,TODAY()-DATE(2026,4,14))/365*'⚙ Parámetros'!B33,'⚙ Parámetros'!B34)</f>
        <v>1.0242465753424657</v>
      </c>
      <c r="AJ119" s="82">
        <f t="shared" ca="1" si="6"/>
        <v>2.7616867681865518</v>
      </c>
      <c r="AK119" s="83" t="str">
        <f ca="1">IF(AB119&gt;='⚙ Parámetros'!B23,"⚑ AUTO-PRIOR.(D1≥8)",IF(AJ119&gt;='⚙ Parámetros'!B23,"PRIORITARIO",IF(AJ119&gt;='⚙ Parámetros'!B24,"ALTA PRIORIDAD",IF(AJ119&gt;='⚙ Parámetros'!B25,"PRIORIDAD MEDIA",IF(AJ119&gt;='⚙ Parámetros'!B26,"BAJA PRIORIDAD","DESCARTAR")))))</f>
        <v>DESCARTAR</v>
      </c>
      <c r="AL119" s="84" t="str">
        <f t="shared" si="7"/>
        <v>—</v>
      </c>
      <c r="AM119" s="85">
        <v>13</v>
      </c>
      <c r="AN119" s="83" t="str">
        <f>IF(AM119="","—",IF(AM119&lt;'⚙ Parámetros'!B29,"🟢 Corto",IF(AM119&lt;'⚙ Parámetros'!B30,"🟡 Medio","🔴 Largo")))</f>
        <v>🟢 Corto</v>
      </c>
    </row>
    <row r="120" spans="1:40" ht="18.75" customHeight="1" x14ac:dyDescent="0.25">
      <c r="A120" s="69">
        <v>116</v>
      </c>
      <c r="B120" s="30" t="s">
        <v>353</v>
      </c>
      <c r="C120" s="26" t="s">
        <v>135</v>
      </c>
      <c r="D120" s="71" t="s">
        <v>333</v>
      </c>
      <c r="E120" s="72" t="s">
        <v>326</v>
      </c>
      <c r="F120" s="74">
        <v>1</v>
      </c>
      <c r="G120" s="74">
        <v>1</v>
      </c>
      <c r="H120" s="74">
        <v>1</v>
      </c>
      <c r="I120" s="74">
        <v>1</v>
      </c>
      <c r="J120" s="74">
        <v>1</v>
      </c>
      <c r="K120" s="74">
        <v>1</v>
      </c>
      <c r="L120" s="74">
        <v>1</v>
      </c>
      <c r="M120" s="86">
        <v>3</v>
      </c>
      <c r="N120" s="74">
        <v>1</v>
      </c>
      <c r="O120" s="74">
        <v>1</v>
      </c>
      <c r="P120" s="86">
        <v>6</v>
      </c>
      <c r="Q120" s="74">
        <v>1</v>
      </c>
      <c r="R120" s="86">
        <v>5</v>
      </c>
      <c r="S120" s="86">
        <v>5</v>
      </c>
      <c r="T120" s="86">
        <v>5</v>
      </c>
      <c r="U120" s="86">
        <v>5</v>
      </c>
      <c r="V120" s="86">
        <v>5</v>
      </c>
      <c r="W120" s="86">
        <v>6</v>
      </c>
      <c r="X120" s="86">
        <v>6</v>
      </c>
      <c r="Y120" s="86">
        <v>4</v>
      </c>
      <c r="Z120" s="74">
        <v>2</v>
      </c>
      <c r="AA120" s="86">
        <v>5</v>
      </c>
      <c r="AB120" s="89">
        <f>IFERROR((30/100*MAX('⚙ Parámetros'!D15/(1+2^(-'⚙ Parámetros'!C15*(F120-'⚙ Parámetros'!B15))),'⚙ Parámetros'!G15/(1+2^(-'⚙ Parámetros'!F15*(F120-'⚙ Parámetros'!E15))),1)*F120+30/100*MAX('⚙ Parámetros'!D15/(1+2^(-'⚙ Parámetros'!C15*(G120-'⚙ Parámetros'!B15))),'⚙ Parámetros'!G15/(1+2^(-'⚙ Parámetros'!F15*(G120-'⚙ Parámetros'!E15))),1)*G120+20/100*MAX('⚙ Parámetros'!D15/(1+2^(-'⚙ Parámetros'!C15*(H120-'⚙ Parámetros'!B15))),'⚙ Parámetros'!G15/(1+2^(-'⚙ Parámetros'!F15*(H120-'⚙ Parámetros'!E15))),1)*H120+20/100*MAX('⚙ Parámetros'!D15/(1+2^(-'⚙ Parámetros'!C15*(I120-'⚙ Parámetros'!B15))),'⚙ Parámetros'!G15/(1+2^(-'⚙ Parámetros'!F15*(I120-'⚙ Parámetros'!E15))),1)*I120)/(30/100*MAX('⚙ Parámetros'!D15/(1+2^(-'⚙ Parámetros'!C15*(F120-'⚙ Parámetros'!B15))),'⚙ Parámetros'!G15/(1+2^(-'⚙ Parámetros'!F15*(F120-'⚙ Parámetros'!E15))),1)+30/100*MAX('⚙ Parámetros'!D15/(1+2^(-'⚙ Parámetros'!C15*(G120-'⚙ Parámetros'!B15))),'⚙ Parámetros'!G15/(1+2^(-'⚙ Parámetros'!F15*(G120-'⚙ Parámetros'!E15))),1)+20/100*MAX('⚙ Parámetros'!D15/(1+2^(-'⚙ Parámetros'!C15*(H120-'⚙ Parámetros'!B15))),'⚙ Parámetros'!G15/(1+2^(-'⚙ Parámetros'!F15*(H120-'⚙ Parámetros'!E15))),1)+20/100*MAX('⚙ Parámetros'!D15/(1+2^(-'⚙ Parámetros'!C15*(I120-'⚙ Parámetros'!B15))),'⚙ Parámetros'!G15/(1+2^(-'⚙ Parámetros'!F15*(I120-'⚙ Parámetros'!E15))),1)),0)</f>
        <v>1</v>
      </c>
      <c r="AC120" s="89">
        <f>IFERROR((35/100*MAX('⚙ Parámetros'!D16/(1+2^(-'⚙ Parámetros'!C16*(J120-'⚙ Parámetros'!B16))),'⚙ Parámetros'!G16/(1+2^(-'⚙ Parámetros'!F16*(J120-'⚙ Parámetros'!E16))),1)*J120+25/100*MAX('⚙ Parámetros'!D16/(1+2^(-'⚙ Parámetros'!C16*(K120-'⚙ Parámetros'!B16))),'⚙ Parámetros'!G16/(1+2^(-'⚙ Parámetros'!F16*(K120-'⚙ Parámetros'!E16))),1)*K120+20/100*MAX('⚙ Parámetros'!D16/(1+2^(-'⚙ Parámetros'!C16*(L120-'⚙ Parámetros'!B16))),'⚙ Parámetros'!G16/(1+2^(-'⚙ Parámetros'!F16*(L120-'⚙ Parámetros'!E16))),1)*L120+20/100*MAX('⚙ Parámetros'!D16/(1+2^(-'⚙ Parámetros'!C16*(M120-'⚙ Parámetros'!B16))),'⚙ Parámetros'!G16/(1+2^(-'⚙ Parámetros'!F16*(M120-'⚙ Parámetros'!E16))),1)*M120)/(35/100*MAX('⚙ Parámetros'!D16/(1+2^(-'⚙ Parámetros'!C16*(J120-'⚙ Parámetros'!B16))),'⚙ Parámetros'!G16/(1+2^(-'⚙ Parámetros'!F16*(J120-'⚙ Parámetros'!E16))),1)+25/100*MAX('⚙ Parámetros'!D16/(1+2^(-'⚙ Parámetros'!C16*(K120-'⚙ Parámetros'!B16))),'⚙ Parámetros'!G16/(1+2^(-'⚙ Parámetros'!F16*(K120-'⚙ Parámetros'!E16))),1)+20/100*MAX('⚙ Parámetros'!D16/(1+2^(-'⚙ Parámetros'!C16*(L120-'⚙ Parámetros'!B16))),'⚙ Parámetros'!G16/(1+2^(-'⚙ Parámetros'!F16*(L120-'⚙ Parámetros'!E16))),1)+20/100*MAX('⚙ Parámetros'!D16/(1+2^(-'⚙ Parámetros'!C16*(M120-'⚙ Parámetros'!B16))),'⚙ Parámetros'!G16/(1+2^(-'⚙ Parámetros'!F16*(M120-'⚙ Parámetros'!E16))),1)),0)</f>
        <v>1.4000000000000001</v>
      </c>
      <c r="AD120" s="89">
        <f>IFERROR((30/100*MAX('⚙ Parámetros'!D17/(1+2^(-'⚙ Parámetros'!C17*(N120-'⚙ Parámetros'!B17))),'⚙ Parámetros'!G17/(1+2^(-'⚙ Parámetros'!F17*(N120-'⚙ Parámetros'!E17))),1)*N120+25/100*MAX('⚙ Parámetros'!D17/(1+2^(-'⚙ Parámetros'!C17*(O120-'⚙ Parámetros'!B17))),'⚙ Parámetros'!G17/(1+2^(-'⚙ Parámetros'!F17*(O120-'⚙ Parámetros'!E17))),1)*O120+25/100*MAX('⚙ Parámetros'!D17/(1+2^(-'⚙ Parámetros'!C17*(P120-'⚙ Parámetros'!B17))),'⚙ Parámetros'!G17/(1+2^(-'⚙ Parámetros'!F17*(P120-'⚙ Parámetros'!E17))),1)*P120+20/100*MAX('⚙ Parámetros'!D17/(1+2^(-'⚙ Parámetros'!C17*(Q120-'⚙ Parámetros'!B17))),'⚙ Parámetros'!G17/(1+2^(-'⚙ Parámetros'!F17*(Q120-'⚙ Parámetros'!E17))),1)*Q120)/(30/100*MAX('⚙ Parámetros'!D17/(1+2^(-'⚙ Parámetros'!C17*(N120-'⚙ Parámetros'!B17))),'⚙ Parámetros'!G17/(1+2^(-'⚙ Parámetros'!F17*(N120-'⚙ Parámetros'!E17))),1)+25/100*MAX('⚙ Parámetros'!D17/(1+2^(-'⚙ Parámetros'!C17*(O120-'⚙ Parámetros'!B17))),'⚙ Parámetros'!G17/(1+2^(-'⚙ Parámetros'!F17*(O120-'⚙ Parámetros'!E17))),1)+25/100*MAX('⚙ Parámetros'!D17/(1+2^(-'⚙ Parámetros'!C17*(P120-'⚙ Parámetros'!B17))),'⚙ Parámetros'!G17/(1+2^(-'⚙ Parámetros'!F17*(P120-'⚙ Parámetros'!E17))),1)+20/100*MAX('⚙ Parámetros'!D17/(1+2^(-'⚙ Parámetros'!C17*(Q120-'⚙ Parámetros'!B17))),'⚙ Parámetros'!G17/(1+2^(-'⚙ Parámetros'!F17*(Q120-'⚙ Parámetros'!E17))),1)),0)</f>
        <v>3.2222222222222223</v>
      </c>
      <c r="AE120" s="89">
        <f>IFERROR((30/100*MAX('⚙ Parámetros'!D18/(1+2^(-'⚙ Parámetros'!C18*(R120-'⚙ Parámetros'!B18))),'⚙ Parámetros'!G18/(1+2^(-'⚙ Parámetros'!F18*(R120-'⚙ Parámetros'!E18))),1)*R120+30/100*MAX('⚙ Parámetros'!D18/(1+2^(-'⚙ Parámetros'!C18*(S120-'⚙ Parámetros'!B18))),'⚙ Parámetros'!G18/(1+2^(-'⚙ Parámetros'!F18*(S120-'⚙ Parámetros'!E18))),1)*S120+20/100*MAX('⚙ Parámetros'!D18/(1+2^(-'⚙ Parámetros'!C18*(T120-'⚙ Parámetros'!B18))),'⚙ Parámetros'!G18/(1+2^(-'⚙ Parámetros'!F18*(T120-'⚙ Parámetros'!E18))),1)*T120+20/100*MAX('⚙ Parámetros'!D18/(1+2^(-'⚙ Parámetros'!C18*(U120-'⚙ Parámetros'!B18))),'⚙ Parámetros'!G18/(1+2^(-'⚙ Parámetros'!F18*(U120-'⚙ Parámetros'!E18))),1)*U120)/(30/100*MAX('⚙ Parámetros'!D18/(1+2^(-'⚙ Parámetros'!C18*(R120-'⚙ Parámetros'!B18))),'⚙ Parámetros'!G18/(1+2^(-'⚙ Parámetros'!F18*(R120-'⚙ Parámetros'!E18))),1)+30/100*MAX('⚙ Parámetros'!D18/(1+2^(-'⚙ Parámetros'!C18*(S120-'⚙ Parámetros'!B18))),'⚙ Parámetros'!G18/(1+2^(-'⚙ Parámetros'!F18*(S120-'⚙ Parámetros'!E18))),1)+20/100*MAX('⚙ Parámetros'!D18/(1+2^(-'⚙ Parámetros'!C18*(T120-'⚙ Parámetros'!B18))),'⚙ Parámetros'!G18/(1+2^(-'⚙ Parámetros'!F18*(T120-'⚙ Parámetros'!E18))),1)+20/100*MAX('⚙ Parámetros'!D18/(1+2^(-'⚙ Parámetros'!C18*(U120-'⚙ Parámetros'!B18))),'⚙ Parámetros'!G18/(1+2^(-'⚙ Parámetros'!F18*(U120-'⚙ Parámetros'!E18))),1)),0)</f>
        <v>5</v>
      </c>
      <c r="AF120" s="89">
        <f>IFERROR((30/100*MAX('⚙ Parámetros'!D19/(1+2^(-'⚙ Parámetros'!C19*(V120-'⚙ Parámetros'!B19))),'⚙ Parámetros'!G19/(1+2^(-'⚙ Parámetros'!F19*(V120-'⚙ Parámetros'!E19))),1)*V120+35/100*MAX('⚙ Parámetros'!D19/(1+2^(-'⚙ Parámetros'!C19*(W120-'⚙ Parámetros'!B19))),'⚙ Parámetros'!G19/(1+2^(-'⚙ Parámetros'!F19*(W120-'⚙ Parámetros'!E19))),1)*W120+35/100*MAX('⚙ Parámetros'!D19/(1+2^(-'⚙ Parámetros'!C19*(X120-'⚙ Parámetros'!B19))),'⚙ Parámetros'!G19/(1+2^(-'⚙ Parámetros'!F19*(X120-'⚙ Parámetros'!E19))),1)*X120)/(30/100*MAX('⚙ Parámetros'!D19/(1+2^(-'⚙ Parámetros'!C19*(V120-'⚙ Parámetros'!B19))),'⚙ Parámetros'!G19/(1+2^(-'⚙ Parámetros'!F19*(V120-'⚙ Parámetros'!E19))),1)+35/100*MAX('⚙ Parámetros'!D19/(1+2^(-'⚙ Parámetros'!C19*(W120-'⚙ Parámetros'!B19))),'⚙ Parámetros'!G19/(1+2^(-'⚙ Parámetros'!F19*(W120-'⚙ Parámetros'!E19))),1)+35/100*MAX('⚙ Parámetros'!D19/(1+2^(-'⚙ Parámetros'!C19*(X120-'⚙ Parámetros'!B19))),'⚙ Parámetros'!G19/(1+2^(-'⚙ Parámetros'!F19*(X120-'⚙ Parámetros'!E19))),1)),0)</f>
        <v>5.7368421052631575</v>
      </c>
      <c r="AG120" s="89">
        <f>IFERROR((35/100*MAX('⚙ Parámetros'!D20/(1+2^(-'⚙ Parámetros'!C20*(Y120-'⚙ Parámetros'!B20))),'⚙ Parámetros'!G20/(1+2^(-'⚙ Parámetros'!F20*(Y120-'⚙ Parámetros'!E20))),1)*Y120+35/100*MAX('⚙ Parámetros'!D20/(1+2^(-'⚙ Parámetros'!C20*(Z120-'⚙ Parámetros'!B20))),'⚙ Parámetros'!G20/(1+2^(-'⚙ Parámetros'!F20*(Z120-'⚙ Parámetros'!E20))),1)*Z120+30/100*MAX('⚙ Parámetros'!D20/(1+2^(-'⚙ Parámetros'!C20*(AA120-'⚙ Parámetros'!B20))),'⚙ Parámetros'!G20/(1+2^(-'⚙ Parámetros'!F20*(AA120-'⚙ Parámetros'!E20))),1)*AA120)/(35/100*MAX('⚙ Parámetros'!D20/(1+2^(-'⚙ Parámetros'!C20*(Y120-'⚙ Parámetros'!B20))),'⚙ Parámetros'!G20/(1+2^(-'⚙ Parámetros'!F20*(Y120-'⚙ Parámetros'!E20))),1)+35/100*MAX('⚙ Parámetros'!D20/(1+2^(-'⚙ Parámetros'!C20*(Z120-'⚙ Parámetros'!B20))),'⚙ Parámetros'!G20/(1+2^(-'⚙ Parámetros'!F20*(Z120-'⚙ Parámetros'!E20))),1)+30/100*MAX('⚙ Parámetros'!D20/(1+2^(-'⚙ Parámetros'!C20*(AA120-'⚙ Parámetros'!B20))),'⚙ Parámetros'!G20/(1+2^(-'⚙ Parámetros'!F20*(AA120-'⚙ Parámetros'!E20))),1)),0)</f>
        <v>3.7272727272727275</v>
      </c>
      <c r="AH120" s="90">
        <f>('⚙ Parámetros'!B5/100*AB120+'⚙ Parámetros'!B6/100*AC120+'⚙ Parámetros'!B7/100*AD120+'⚙ Parámetros'!B8/100*AE120+'⚙ Parámetros'!B9/100*AF120+'⚙ Parámetros'!B10/100*AG120)</f>
        <v>2.6963104731525784</v>
      </c>
      <c r="AI120" s="91">
        <f ca="1">MIN(1+MAX(0,TODAY()-DATE(2026,2,12))/365*'⚙ Parámetros'!B33,'⚙ Parámetros'!B34)</f>
        <v>1.0493150684931507</v>
      </c>
      <c r="AJ120" s="82">
        <f t="shared" ca="1" si="6"/>
        <v>2.8292792088148975</v>
      </c>
      <c r="AK120" s="92" t="str">
        <f ca="1">IF(AB120&gt;='⚙ Parámetros'!B23,"⚑ AUTO-PRIOR.(D1≥8)",IF(AJ120&gt;='⚙ Parámetros'!B23,"PRIORITARIO",IF(AJ120&gt;='⚙ Parámetros'!B24,"ALTA PRIORIDAD",IF(AJ120&gt;='⚙ Parámetros'!B25,"PRIORIDAD MEDIA",IF(AJ120&gt;='⚙ Parámetros'!B26,"BAJA PRIORIDAD","DESCARTAR")))))</f>
        <v>DESCARTAR</v>
      </c>
      <c r="AL120" s="69" t="str">
        <f t="shared" si="7"/>
        <v>—</v>
      </c>
      <c r="AM120" s="85">
        <v>47</v>
      </c>
      <c r="AN120" s="83" t="str">
        <f>IF(AM120="","—",IF(AM120&lt;'⚙ Parámetros'!B29,"🟢 Corto",IF(AM120&lt;'⚙ Parámetros'!B30,"🟡 Medio","🔴 Largo")))</f>
        <v>🟡 Medio</v>
      </c>
    </row>
    <row r="121" spans="1:40" ht="18.75" customHeight="1" x14ac:dyDescent="0.25">
      <c r="A121" s="69">
        <v>117</v>
      </c>
      <c r="B121" s="70" t="s">
        <v>354</v>
      </c>
      <c r="C121" s="4" t="s">
        <v>135</v>
      </c>
      <c r="D121" s="71" t="s">
        <v>316</v>
      </c>
      <c r="E121" s="72" t="s">
        <v>321</v>
      </c>
      <c r="F121" s="74">
        <v>1</v>
      </c>
      <c r="G121" s="74">
        <v>1</v>
      </c>
      <c r="H121" s="74">
        <v>1</v>
      </c>
      <c r="I121" s="74">
        <v>1</v>
      </c>
      <c r="J121" s="74">
        <v>1</v>
      </c>
      <c r="K121" s="74">
        <v>1</v>
      </c>
      <c r="L121" s="74">
        <v>1</v>
      </c>
      <c r="M121" s="73">
        <v>3</v>
      </c>
      <c r="N121" s="74">
        <v>1</v>
      </c>
      <c r="O121" s="74">
        <v>1</v>
      </c>
      <c r="P121" s="73">
        <v>6</v>
      </c>
      <c r="Q121" s="74">
        <v>1</v>
      </c>
      <c r="R121" s="73">
        <v>5</v>
      </c>
      <c r="S121" s="73">
        <v>5</v>
      </c>
      <c r="T121" s="73">
        <v>5</v>
      </c>
      <c r="U121" s="73">
        <v>5</v>
      </c>
      <c r="V121" s="73">
        <v>5</v>
      </c>
      <c r="W121" s="73">
        <v>6</v>
      </c>
      <c r="X121" s="73">
        <v>6</v>
      </c>
      <c r="Y121" s="73">
        <v>4</v>
      </c>
      <c r="Z121" s="74">
        <v>2</v>
      </c>
      <c r="AA121" s="73">
        <v>5</v>
      </c>
      <c r="AB121" s="80">
        <f>IFERROR((30/100*MAX('⚙ Parámetros'!D15/(1+2^(-'⚙ Parámetros'!C15*(F121-'⚙ Parámetros'!B15))),'⚙ Parámetros'!G15/(1+2^(-'⚙ Parámetros'!F15*(F121-'⚙ Parámetros'!E15))),1)*F121+30/100*MAX('⚙ Parámetros'!D15/(1+2^(-'⚙ Parámetros'!C15*(G121-'⚙ Parámetros'!B15))),'⚙ Parámetros'!G15/(1+2^(-'⚙ Parámetros'!F15*(G121-'⚙ Parámetros'!E15))),1)*G121+20/100*MAX('⚙ Parámetros'!D15/(1+2^(-'⚙ Parámetros'!C15*(H121-'⚙ Parámetros'!B15))),'⚙ Parámetros'!G15/(1+2^(-'⚙ Parámetros'!F15*(H121-'⚙ Parámetros'!E15))),1)*H121+20/100*MAX('⚙ Parámetros'!D15/(1+2^(-'⚙ Parámetros'!C15*(I121-'⚙ Parámetros'!B15))),'⚙ Parámetros'!G15/(1+2^(-'⚙ Parámetros'!F15*(I121-'⚙ Parámetros'!E15))),1)*I121)/(30/100*MAX('⚙ Parámetros'!D15/(1+2^(-'⚙ Parámetros'!C15*(F121-'⚙ Parámetros'!B15))),'⚙ Parámetros'!G15/(1+2^(-'⚙ Parámetros'!F15*(F121-'⚙ Parámetros'!E15))),1)+30/100*MAX('⚙ Parámetros'!D15/(1+2^(-'⚙ Parámetros'!C15*(G121-'⚙ Parámetros'!B15))),'⚙ Parámetros'!G15/(1+2^(-'⚙ Parámetros'!F15*(G121-'⚙ Parámetros'!E15))),1)+20/100*MAX('⚙ Parámetros'!D15/(1+2^(-'⚙ Parámetros'!C15*(H121-'⚙ Parámetros'!B15))),'⚙ Parámetros'!G15/(1+2^(-'⚙ Parámetros'!F15*(H121-'⚙ Parámetros'!E15))),1)+20/100*MAX('⚙ Parámetros'!D15/(1+2^(-'⚙ Parámetros'!C15*(I121-'⚙ Parámetros'!B15))),'⚙ Parámetros'!G15/(1+2^(-'⚙ Parámetros'!F15*(I121-'⚙ Parámetros'!E15))),1)),0)</f>
        <v>1</v>
      </c>
      <c r="AC121" s="80">
        <f>IFERROR((35/100*MAX('⚙ Parámetros'!D16/(1+2^(-'⚙ Parámetros'!C16*(J121-'⚙ Parámetros'!B16))),'⚙ Parámetros'!G16/(1+2^(-'⚙ Parámetros'!F16*(J121-'⚙ Parámetros'!E16))),1)*J121+25/100*MAX('⚙ Parámetros'!D16/(1+2^(-'⚙ Parámetros'!C16*(K121-'⚙ Parámetros'!B16))),'⚙ Parámetros'!G16/(1+2^(-'⚙ Parámetros'!F16*(K121-'⚙ Parámetros'!E16))),1)*K121+20/100*MAX('⚙ Parámetros'!D16/(1+2^(-'⚙ Parámetros'!C16*(L121-'⚙ Parámetros'!B16))),'⚙ Parámetros'!G16/(1+2^(-'⚙ Parámetros'!F16*(L121-'⚙ Parámetros'!E16))),1)*L121+20/100*MAX('⚙ Parámetros'!D16/(1+2^(-'⚙ Parámetros'!C16*(M121-'⚙ Parámetros'!B16))),'⚙ Parámetros'!G16/(1+2^(-'⚙ Parámetros'!F16*(M121-'⚙ Parámetros'!E16))),1)*M121)/(35/100*MAX('⚙ Parámetros'!D16/(1+2^(-'⚙ Parámetros'!C16*(J121-'⚙ Parámetros'!B16))),'⚙ Parámetros'!G16/(1+2^(-'⚙ Parámetros'!F16*(J121-'⚙ Parámetros'!E16))),1)+25/100*MAX('⚙ Parámetros'!D16/(1+2^(-'⚙ Parámetros'!C16*(K121-'⚙ Parámetros'!B16))),'⚙ Parámetros'!G16/(1+2^(-'⚙ Parámetros'!F16*(K121-'⚙ Parámetros'!E16))),1)+20/100*MAX('⚙ Parámetros'!D16/(1+2^(-'⚙ Parámetros'!C16*(L121-'⚙ Parámetros'!B16))),'⚙ Parámetros'!G16/(1+2^(-'⚙ Parámetros'!F16*(L121-'⚙ Parámetros'!E16))),1)+20/100*MAX('⚙ Parámetros'!D16/(1+2^(-'⚙ Parámetros'!C16*(M121-'⚙ Parámetros'!B16))),'⚙ Parámetros'!G16/(1+2^(-'⚙ Parámetros'!F16*(M121-'⚙ Parámetros'!E16))),1)),0)</f>
        <v>1.4000000000000001</v>
      </c>
      <c r="AD121" s="80">
        <f>IFERROR((30/100*MAX('⚙ Parámetros'!D17/(1+2^(-'⚙ Parámetros'!C17*(N121-'⚙ Parámetros'!B17))),'⚙ Parámetros'!G17/(1+2^(-'⚙ Parámetros'!F17*(N121-'⚙ Parámetros'!E17))),1)*N121+25/100*MAX('⚙ Parámetros'!D17/(1+2^(-'⚙ Parámetros'!C17*(O121-'⚙ Parámetros'!B17))),'⚙ Parámetros'!G17/(1+2^(-'⚙ Parámetros'!F17*(O121-'⚙ Parámetros'!E17))),1)*O121+25/100*MAX('⚙ Parámetros'!D17/(1+2^(-'⚙ Parámetros'!C17*(P121-'⚙ Parámetros'!B17))),'⚙ Parámetros'!G17/(1+2^(-'⚙ Parámetros'!F17*(P121-'⚙ Parámetros'!E17))),1)*P121+20/100*MAX('⚙ Parámetros'!D17/(1+2^(-'⚙ Parámetros'!C17*(Q121-'⚙ Parámetros'!B17))),'⚙ Parámetros'!G17/(1+2^(-'⚙ Parámetros'!F17*(Q121-'⚙ Parámetros'!E17))),1)*Q121)/(30/100*MAX('⚙ Parámetros'!D17/(1+2^(-'⚙ Parámetros'!C17*(N121-'⚙ Parámetros'!B17))),'⚙ Parámetros'!G17/(1+2^(-'⚙ Parámetros'!F17*(N121-'⚙ Parámetros'!E17))),1)+25/100*MAX('⚙ Parámetros'!D17/(1+2^(-'⚙ Parámetros'!C17*(O121-'⚙ Parámetros'!B17))),'⚙ Parámetros'!G17/(1+2^(-'⚙ Parámetros'!F17*(O121-'⚙ Parámetros'!E17))),1)+25/100*MAX('⚙ Parámetros'!D17/(1+2^(-'⚙ Parámetros'!C17*(P121-'⚙ Parámetros'!B17))),'⚙ Parámetros'!G17/(1+2^(-'⚙ Parámetros'!F17*(P121-'⚙ Parámetros'!E17))),1)+20/100*MAX('⚙ Parámetros'!D17/(1+2^(-'⚙ Parámetros'!C17*(Q121-'⚙ Parámetros'!B17))),'⚙ Parámetros'!G17/(1+2^(-'⚙ Parámetros'!F17*(Q121-'⚙ Parámetros'!E17))),1)),0)</f>
        <v>3.2222222222222223</v>
      </c>
      <c r="AE121" s="80">
        <f>IFERROR((30/100*MAX('⚙ Parámetros'!D18/(1+2^(-'⚙ Parámetros'!C18*(R121-'⚙ Parámetros'!B18))),'⚙ Parámetros'!G18/(1+2^(-'⚙ Parámetros'!F18*(R121-'⚙ Parámetros'!E18))),1)*R121+30/100*MAX('⚙ Parámetros'!D18/(1+2^(-'⚙ Parámetros'!C18*(S121-'⚙ Parámetros'!B18))),'⚙ Parámetros'!G18/(1+2^(-'⚙ Parámetros'!F18*(S121-'⚙ Parámetros'!E18))),1)*S121+20/100*MAX('⚙ Parámetros'!D18/(1+2^(-'⚙ Parámetros'!C18*(T121-'⚙ Parámetros'!B18))),'⚙ Parámetros'!G18/(1+2^(-'⚙ Parámetros'!F18*(T121-'⚙ Parámetros'!E18))),1)*T121+20/100*MAX('⚙ Parámetros'!D18/(1+2^(-'⚙ Parámetros'!C18*(U121-'⚙ Parámetros'!B18))),'⚙ Parámetros'!G18/(1+2^(-'⚙ Parámetros'!F18*(U121-'⚙ Parámetros'!E18))),1)*U121)/(30/100*MAX('⚙ Parámetros'!D18/(1+2^(-'⚙ Parámetros'!C18*(R121-'⚙ Parámetros'!B18))),'⚙ Parámetros'!G18/(1+2^(-'⚙ Parámetros'!F18*(R121-'⚙ Parámetros'!E18))),1)+30/100*MAX('⚙ Parámetros'!D18/(1+2^(-'⚙ Parámetros'!C18*(S121-'⚙ Parámetros'!B18))),'⚙ Parámetros'!G18/(1+2^(-'⚙ Parámetros'!F18*(S121-'⚙ Parámetros'!E18))),1)+20/100*MAX('⚙ Parámetros'!D18/(1+2^(-'⚙ Parámetros'!C18*(T121-'⚙ Parámetros'!B18))),'⚙ Parámetros'!G18/(1+2^(-'⚙ Parámetros'!F18*(T121-'⚙ Parámetros'!E18))),1)+20/100*MAX('⚙ Parámetros'!D18/(1+2^(-'⚙ Parámetros'!C18*(U121-'⚙ Parámetros'!B18))),'⚙ Parámetros'!G18/(1+2^(-'⚙ Parámetros'!F18*(U121-'⚙ Parámetros'!E18))),1)),0)</f>
        <v>5</v>
      </c>
      <c r="AF121" s="80">
        <f>IFERROR((30/100*MAX('⚙ Parámetros'!D19/(1+2^(-'⚙ Parámetros'!C19*(V121-'⚙ Parámetros'!B19))),'⚙ Parámetros'!G19/(1+2^(-'⚙ Parámetros'!F19*(V121-'⚙ Parámetros'!E19))),1)*V121+35/100*MAX('⚙ Parámetros'!D19/(1+2^(-'⚙ Parámetros'!C19*(W121-'⚙ Parámetros'!B19))),'⚙ Parámetros'!G19/(1+2^(-'⚙ Parámetros'!F19*(W121-'⚙ Parámetros'!E19))),1)*W121+35/100*MAX('⚙ Parámetros'!D19/(1+2^(-'⚙ Parámetros'!C19*(X121-'⚙ Parámetros'!B19))),'⚙ Parámetros'!G19/(1+2^(-'⚙ Parámetros'!F19*(X121-'⚙ Parámetros'!E19))),1)*X121)/(30/100*MAX('⚙ Parámetros'!D19/(1+2^(-'⚙ Parámetros'!C19*(V121-'⚙ Parámetros'!B19))),'⚙ Parámetros'!G19/(1+2^(-'⚙ Parámetros'!F19*(V121-'⚙ Parámetros'!E19))),1)+35/100*MAX('⚙ Parámetros'!D19/(1+2^(-'⚙ Parámetros'!C19*(W121-'⚙ Parámetros'!B19))),'⚙ Parámetros'!G19/(1+2^(-'⚙ Parámetros'!F19*(W121-'⚙ Parámetros'!E19))),1)+35/100*MAX('⚙ Parámetros'!D19/(1+2^(-'⚙ Parámetros'!C19*(X121-'⚙ Parámetros'!B19))),'⚙ Parámetros'!G19/(1+2^(-'⚙ Parámetros'!F19*(X121-'⚙ Parámetros'!E19))),1)),0)</f>
        <v>5.7368421052631575</v>
      </c>
      <c r="AG121" s="80">
        <f>IFERROR((35/100*MAX('⚙ Parámetros'!D20/(1+2^(-'⚙ Parámetros'!C20*(Y121-'⚙ Parámetros'!B20))),'⚙ Parámetros'!G20/(1+2^(-'⚙ Parámetros'!F20*(Y121-'⚙ Parámetros'!E20))),1)*Y121+35/100*MAX('⚙ Parámetros'!D20/(1+2^(-'⚙ Parámetros'!C20*(Z121-'⚙ Parámetros'!B20))),'⚙ Parámetros'!G20/(1+2^(-'⚙ Parámetros'!F20*(Z121-'⚙ Parámetros'!E20))),1)*Z121+30/100*MAX('⚙ Parámetros'!D20/(1+2^(-'⚙ Parámetros'!C20*(AA121-'⚙ Parámetros'!B20))),'⚙ Parámetros'!G20/(1+2^(-'⚙ Parámetros'!F20*(AA121-'⚙ Parámetros'!E20))),1)*AA121)/(35/100*MAX('⚙ Parámetros'!D20/(1+2^(-'⚙ Parámetros'!C20*(Y121-'⚙ Parámetros'!B20))),'⚙ Parámetros'!G20/(1+2^(-'⚙ Parámetros'!F20*(Y121-'⚙ Parámetros'!E20))),1)+35/100*MAX('⚙ Parámetros'!D20/(1+2^(-'⚙ Parámetros'!C20*(Z121-'⚙ Parámetros'!B20))),'⚙ Parámetros'!G20/(1+2^(-'⚙ Parámetros'!F20*(Z121-'⚙ Parámetros'!E20))),1)+30/100*MAX('⚙ Parámetros'!D20/(1+2^(-'⚙ Parámetros'!C20*(AA121-'⚙ Parámetros'!B20))),'⚙ Parámetros'!G20/(1+2^(-'⚙ Parámetros'!F20*(AA121-'⚙ Parámetros'!E20))),1)),0)</f>
        <v>3.7272727272727275</v>
      </c>
      <c r="AH121" s="81">
        <f>('⚙ Parámetros'!B5/100*AB121+'⚙ Parámetros'!B6/100*AC121+'⚙ Parámetros'!B7/100*AD121+'⚙ Parámetros'!B8/100*AE121+'⚙ Parámetros'!B9/100*AF121+'⚙ Parámetros'!B10/100*AG121)</f>
        <v>2.6963104731525784</v>
      </c>
      <c r="AI121" s="33">
        <f ca="1">MIN(1+MAX(0,TODAY()-DATE(2026,2,9))/365*'⚙ Parámetros'!B33,'⚙ Parámetros'!B34)</f>
        <v>1.0505479452054796</v>
      </c>
      <c r="AJ121" s="82">
        <f t="shared" ca="1" si="6"/>
        <v>2.8326034272064557</v>
      </c>
      <c r="AK121" s="83" t="str">
        <f ca="1">IF(AB121&gt;='⚙ Parámetros'!B23,"⚑ AUTO-PRIOR.(D1≥8)",IF(AJ121&gt;='⚙ Parámetros'!B23,"PRIORITARIO",IF(AJ121&gt;='⚙ Parámetros'!B24,"ALTA PRIORIDAD",IF(AJ121&gt;='⚙ Parámetros'!B25,"PRIORIDAD MEDIA",IF(AJ121&gt;='⚙ Parámetros'!B26,"BAJA PRIORIDAD","DESCARTAR")))))</f>
        <v>DESCARTAR</v>
      </c>
      <c r="AL121" s="84" t="str">
        <f t="shared" si="7"/>
        <v>—</v>
      </c>
      <c r="AM121" s="85">
        <v>49</v>
      </c>
      <c r="AN121" s="83" t="str">
        <f>IF(AM121="","—",IF(AM121&lt;'⚙ Parámetros'!B29,"🟢 Corto",IF(AM121&lt;'⚙ Parámetros'!B30,"🟡 Medio","🔴 Largo")))</f>
        <v>🟡 Medio</v>
      </c>
    </row>
    <row r="122" spans="1:40" ht="18.75" customHeight="1" x14ac:dyDescent="0.25">
      <c r="A122" s="69">
        <v>118</v>
      </c>
      <c r="B122" s="30" t="s">
        <v>355</v>
      </c>
      <c r="C122" s="26" t="s">
        <v>135</v>
      </c>
      <c r="D122" s="71" t="s">
        <v>136</v>
      </c>
      <c r="E122" s="72" t="s">
        <v>356</v>
      </c>
      <c r="F122" s="74">
        <v>1</v>
      </c>
      <c r="G122" s="74">
        <v>1</v>
      </c>
      <c r="H122" s="74">
        <v>1</v>
      </c>
      <c r="I122" s="74">
        <v>1</v>
      </c>
      <c r="J122" s="74">
        <v>1</v>
      </c>
      <c r="K122" s="74">
        <v>1</v>
      </c>
      <c r="L122" s="74">
        <v>1</v>
      </c>
      <c r="M122" s="86">
        <v>3</v>
      </c>
      <c r="N122" s="74">
        <v>1</v>
      </c>
      <c r="O122" s="74">
        <v>1</v>
      </c>
      <c r="P122" s="74">
        <v>1</v>
      </c>
      <c r="Q122" s="74">
        <v>1</v>
      </c>
      <c r="R122" s="76">
        <v>9</v>
      </c>
      <c r="S122" s="76">
        <v>9</v>
      </c>
      <c r="T122" s="86">
        <v>5</v>
      </c>
      <c r="U122" s="86">
        <v>5</v>
      </c>
      <c r="V122" s="77">
        <v>8</v>
      </c>
      <c r="W122" s="86">
        <v>4</v>
      </c>
      <c r="X122" s="86">
        <v>5</v>
      </c>
      <c r="Y122" s="86">
        <v>4</v>
      </c>
      <c r="Z122" s="74">
        <v>2</v>
      </c>
      <c r="AA122" s="86">
        <v>5</v>
      </c>
      <c r="AB122" s="89">
        <f>IFERROR((30/100*MAX('⚙ Parámetros'!D15/(1+2^(-'⚙ Parámetros'!C15*(F122-'⚙ Parámetros'!B15))),'⚙ Parámetros'!G15/(1+2^(-'⚙ Parámetros'!F15*(F122-'⚙ Parámetros'!E15))),1)*F122+30/100*MAX('⚙ Parámetros'!D15/(1+2^(-'⚙ Parámetros'!C15*(G122-'⚙ Parámetros'!B15))),'⚙ Parámetros'!G15/(1+2^(-'⚙ Parámetros'!F15*(G122-'⚙ Parámetros'!E15))),1)*G122+20/100*MAX('⚙ Parámetros'!D15/(1+2^(-'⚙ Parámetros'!C15*(H122-'⚙ Parámetros'!B15))),'⚙ Parámetros'!G15/(1+2^(-'⚙ Parámetros'!F15*(H122-'⚙ Parámetros'!E15))),1)*H122+20/100*MAX('⚙ Parámetros'!D15/(1+2^(-'⚙ Parámetros'!C15*(I122-'⚙ Parámetros'!B15))),'⚙ Parámetros'!G15/(1+2^(-'⚙ Parámetros'!F15*(I122-'⚙ Parámetros'!E15))),1)*I122)/(30/100*MAX('⚙ Parámetros'!D15/(1+2^(-'⚙ Parámetros'!C15*(F122-'⚙ Parámetros'!B15))),'⚙ Parámetros'!G15/(1+2^(-'⚙ Parámetros'!F15*(F122-'⚙ Parámetros'!E15))),1)+30/100*MAX('⚙ Parámetros'!D15/(1+2^(-'⚙ Parámetros'!C15*(G122-'⚙ Parámetros'!B15))),'⚙ Parámetros'!G15/(1+2^(-'⚙ Parámetros'!F15*(G122-'⚙ Parámetros'!E15))),1)+20/100*MAX('⚙ Parámetros'!D15/(1+2^(-'⚙ Parámetros'!C15*(H122-'⚙ Parámetros'!B15))),'⚙ Parámetros'!G15/(1+2^(-'⚙ Parámetros'!F15*(H122-'⚙ Parámetros'!E15))),1)+20/100*MAX('⚙ Parámetros'!D15/(1+2^(-'⚙ Parámetros'!C15*(I122-'⚙ Parámetros'!B15))),'⚙ Parámetros'!G15/(1+2^(-'⚙ Parámetros'!F15*(I122-'⚙ Parámetros'!E15))),1)),0)</f>
        <v>1</v>
      </c>
      <c r="AC122" s="89">
        <f>IFERROR((35/100*MAX('⚙ Parámetros'!D16/(1+2^(-'⚙ Parámetros'!C16*(J122-'⚙ Parámetros'!B16))),'⚙ Parámetros'!G16/(1+2^(-'⚙ Parámetros'!F16*(J122-'⚙ Parámetros'!E16))),1)*J122+25/100*MAX('⚙ Parámetros'!D16/(1+2^(-'⚙ Parámetros'!C16*(K122-'⚙ Parámetros'!B16))),'⚙ Parámetros'!G16/(1+2^(-'⚙ Parámetros'!F16*(K122-'⚙ Parámetros'!E16))),1)*K122+20/100*MAX('⚙ Parámetros'!D16/(1+2^(-'⚙ Parámetros'!C16*(L122-'⚙ Parámetros'!B16))),'⚙ Parámetros'!G16/(1+2^(-'⚙ Parámetros'!F16*(L122-'⚙ Parámetros'!E16))),1)*L122+20/100*MAX('⚙ Parámetros'!D16/(1+2^(-'⚙ Parámetros'!C16*(M122-'⚙ Parámetros'!B16))),'⚙ Parámetros'!G16/(1+2^(-'⚙ Parámetros'!F16*(M122-'⚙ Parámetros'!E16))),1)*M122)/(35/100*MAX('⚙ Parámetros'!D16/(1+2^(-'⚙ Parámetros'!C16*(J122-'⚙ Parámetros'!B16))),'⚙ Parámetros'!G16/(1+2^(-'⚙ Parámetros'!F16*(J122-'⚙ Parámetros'!E16))),1)+25/100*MAX('⚙ Parámetros'!D16/(1+2^(-'⚙ Parámetros'!C16*(K122-'⚙ Parámetros'!B16))),'⚙ Parámetros'!G16/(1+2^(-'⚙ Parámetros'!F16*(K122-'⚙ Parámetros'!E16))),1)+20/100*MAX('⚙ Parámetros'!D16/(1+2^(-'⚙ Parámetros'!C16*(L122-'⚙ Parámetros'!B16))),'⚙ Parámetros'!G16/(1+2^(-'⚙ Parámetros'!F16*(L122-'⚙ Parámetros'!E16))),1)+20/100*MAX('⚙ Parámetros'!D16/(1+2^(-'⚙ Parámetros'!C16*(M122-'⚙ Parámetros'!B16))),'⚙ Parámetros'!G16/(1+2^(-'⚙ Parámetros'!F16*(M122-'⚙ Parámetros'!E16))),1)),0)</f>
        <v>1.4000000000000001</v>
      </c>
      <c r="AD122" s="89">
        <f>IFERROR((30/100*MAX('⚙ Parámetros'!D17/(1+2^(-'⚙ Parámetros'!C17*(N122-'⚙ Parámetros'!B17))),'⚙ Parámetros'!G17/(1+2^(-'⚙ Parámetros'!F17*(N122-'⚙ Parámetros'!E17))),1)*N122+25/100*MAX('⚙ Parámetros'!D17/(1+2^(-'⚙ Parámetros'!C17*(O122-'⚙ Parámetros'!B17))),'⚙ Parámetros'!G17/(1+2^(-'⚙ Parámetros'!F17*(O122-'⚙ Parámetros'!E17))),1)*O122+25/100*MAX('⚙ Parámetros'!D17/(1+2^(-'⚙ Parámetros'!C17*(P122-'⚙ Parámetros'!B17))),'⚙ Parámetros'!G17/(1+2^(-'⚙ Parámetros'!F17*(P122-'⚙ Parámetros'!E17))),1)*P122+20/100*MAX('⚙ Parámetros'!D17/(1+2^(-'⚙ Parámetros'!C17*(Q122-'⚙ Parámetros'!B17))),'⚙ Parámetros'!G17/(1+2^(-'⚙ Parámetros'!F17*(Q122-'⚙ Parámetros'!E17))),1)*Q122)/(30/100*MAX('⚙ Parámetros'!D17/(1+2^(-'⚙ Parámetros'!C17*(N122-'⚙ Parámetros'!B17))),'⚙ Parámetros'!G17/(1+2^(-'⚙ Parámetros'!F17*(N122-'⚙ Parámetros'!E17))),1)+25/100*MAX('⚙ Parámetros'!D17/(1+2^(-'⚙ Parámetros'!C17*(O122-'⚙ Parámetros'!B17))),'⚙ Parámetros'!G17/(1+2^(-'⚙ Parámetros'!F17*(O122-'⚙ Parámetros'!E17))),1)+25/100*MAX('⚙ Parámetros'!D17/(1+2^(-'⚙ Parámetros'!C17*(P122-'⚙ Parámetros'!B17))),'⚙ Parámetros'!G17/(1+2^(-'⚙ Parámetros'!F17*(P122-'⚙ Parámetros'!E17))),1)+20/100*MAX('⚙ Parámetros'!D17/(1+2^(-'⚙ Parámetros'!C17*(Q122-'⚙ Parámetros'!B17))),'⚙ Parámetros'!G17/(1+2^(-'⚙ Parámetros'!F17*(Q122-'⚙ Parámetros'!E17))),1)),0)</f>
        <v>1</v>
      </c>
      <c r="AE122" s="89">
        <f>IFERROR((30/100*MAX('⚙ Parámetros'!D18/(1+2^(-'⚙ Parámetros'!C18*(R122-'⚙ Parámetros'!B18))),'⚙ Parámetros'!G18/(1+2^(-'⚙ Parámetros'!F18*(R122-'⚙ Parámetros'!E18))),1)*R122+30/100*MAX('⚙ Parámetros'!D18/(1+2^(-'⚙ Parámetros'!C18*(S122-'⚙ Parámetros'!B18))),'⚙ Parámetros'!G18/(1+2^(-'⚙ Parámetros'!F18*(S122-'⚙ Parámetros'!E18))),1)*S122+20/100*MAX('⚙ Parámetros'!D18/(1+2^(-'⚙ Parámetros'!C18*(T122-'⚙ Parámetros'!B18))),'⚙ Parámetros'!G18/(1+2^(-'⚙ Parámetros'!F18*(T122-'⚙ Parámetros'!E18))),1)*T122+20/100*MAX('⚙ Parámetros'!D18/(1+2^(-'⚙ Parámetros'!C18*(U122-'⚙ Parámetros'!B18))),'⚙ Parámetros'!G18/(1+2^(-'⚙ Parámetros'!F18*(U122-'⚙ Parámetros'!E18))),1)*U122)/(30/100*MAX('⚙ Parámetros'!D18/(1+2^(-'⚙ Parámetros'!C18*(R122-'⚙ Parámetros'!B18))),'⚙ Parámetros'!G18/(1+2^(-'⚙ Parámetros'!F18*(R122-'⚙ Parámetros'!E18))),1)+30/100*MAX('⚙ Parámetros'!D18/(1+2^(-'⚙ Parámetros'!C18*(S122-'⚙ Parámetros'!B18))),'⚙ Parámetros'!G18/(1+2^(-'⚙ Parámetros'!F18*(S122-'⚙ Parámetros'!E18))),1)+20/100*MAX('⚙ Parámetros'!D18/(1+2^(-'⚙ Parámetros'!C18*(T122-'⚙ Parámetros'!B18))),'⚙ Parámetros'!G18/(1+2^(-'⚙ Parámetros'!F18*(T122-'⚙ Parámetros'!E18))),1)+20/100*MAX('⚙ Parámetros'!D18/(1+2^(-'⚙ Parámetros'!C18*(U122-'⚙ Parámetros'!B18))),'⚙ Parámetros'!G18/(1+2^(-'⚙ Parámetros'!F18*(U122-'⚙ Parámetros'!E18))),1)),0)</f>
        <v>8.1801060365339655</v>
      </c>
      <c r="AF122" s="89">
        <f>IFERROR((30/100*MAX('⚙ Parámetros'!D19/(1+2^(-'⚙ Parámetros'!C19*(V122-'⚙ Parámetros'!B19))),'⚙ Parámetros'!G19/(1+2^(-'⚙ Parámetros'!F19*(V122-'⚙ Parámetros'!E19))),1)*V122+35/100*MAX('⚙ Parámetros'!D19/(1+2^(-'⚙ Parámetros'!C19*(W122-'⚙ Parámetros'!B19))),'⚙ Parámetros'!G19/(1+2^(-'⚙ Parámetros'!F19*(W122-'⚙ Parámetros'!E19))),1)*W122+35/100*MAX('⚙ Parámetros'!D19/(1+2^(-'⚙ Parámetros'!C19*(X122-'⚙ Parámetros'!B19))),'⚙ Parámetros'!G19/(1+2^(-'⚙ Parámetros'!F19*(X122-'⚙ Parámetros'!E19))),1)*X122)/(30/100*MAX('⚙ Parámetros'!D19/(1+2^(-'⚙ Parámetros'!C19*(V122-'⚙ Parámetros'!B19))),'⚙ Parámetros'!G19/(1+2^(-'⚙ Parámetros'!F19*(V122-'⚙ Parámetros'!E19))),1)+35/100*MAX('⚙ Parámetros'!D19/(1+2^(-'⚙ Parámetros'!C19*(W122-'⚙ Parámetros'!B19))),'⚙ Parámetros'!G19/(1+2^(-'⚙ Parámetros'!F19*(W122-'⚙ Parámetros'!E19))),1)+35/100*MAX('⚙ Parámetros'!D19/(1+2^(-'⚙ Parámetros'!C19*(X122-'⚙ Parámetros'!B19))),'⚙ Parámetros'!G19/(1+2^(-'⚙ Parámetros'!F19*(X122-'⚙ Parámetros'!E19))),1)),0)</f>
        <v>6.1538461538461542</v>
      </c>
      <c r="AG122" s="89">
        <f>IFERROR((35/100*MAX('⚙ Parámetros'!D20/(1+2^(-'⚙ Parámetros'!C20*(Y122-'⚙ Parámetros'!B20))),'⚙ Parámetros'!G20/(1+2^(-'⚙ Parámetros'!F20*(Y122-'⚙ Parámetros'!E20))),1)*Y122+35/100*MAX('⚙ Parámetros'!D20/(1+2^(-'⚙ Parámetros'!C20*(Z122-'⚙ Parámetros'!B20))),'⚙ Parámetros'!G20/(1+2^(-'⚙ Parámetros'!F20*(Z122-'⚙ Parámetros'!E20))),1)*Z122+30/100*MAX('⚙ Parámetros'!D20/(1+2^(-'⚙ Parámetros'!C20*(AA122-'⚙ Parámetros'!B20))),'⚙ Parámetros'!G20/(1+2^(-'⚙ Parámetros'!F20*(AA122-'⚙ Parámetros'!E20))),1)*AA122)/(35/100*MAX('⚙ Parámetros'!D20/(1+2^(-'⚙ Parámetros'!C20*(Y122-'⚙ Parámetros'!B20))),'⚙ Parámetros'!G20/(1+2^(-'⚙ Parámetros'!F20*(Y122-'⚙ Parámetros'!E20))),1)+35/100*MAX('⚙ Parámetros'!D20/(1+2^(-'⚙ Parámetros'!C20*(Z122-'⚙ Parámetros'!B20))),'⚙ Parámetros'!G20/(1+2^(-'⚙ Parámetros'!F20*(Z122-'⚙ Parámetros'!E20))),1)+30/100*MAX('⚙ Parámetros'!D20/(1+2^(-'⚙ Parámetros'!C20*(AA122-'⚙ Parámetros'!B20))),'⚙ Parámetros'!G20/(1+2^(-'⚙ Parámetros'!F20*(AA122-'⚙ Parámetros'!E20))),1)),0)</f>
        <v>3.7272727272727275</v>
      </c>
      <c r="AH122" s="90">
        <f>('⚙ Parámetros'!B5/100*AB122+'⚙ Parámetros'!B6/100*AC122+'⚙ Parámetros'!B7/100*AD122+'⚙ Parámetros'!B8/100*AE122+'⚙ Parámetros'!B9/100*AF122+'⚙ Parámetros'!B10/100*AG122)</f>
        <v>2.6751791579505095</v>
      </c>
      <c r="AI122" s="91">
        <f ca="1">MIN(1+MAX(0,TODAY()-DATE(2025,9,1))/365*'⚙ Parámetros'!B33,'⚙ Parámetros'!B34)</f>
        <v>1.1167123287671232</v>
      </c>
      <c r="AJ122" s="82">
        <f t="shared" ca="1" si="6"/>
        <v>2.9874055473441854</v>
      </c>
      <c r="AK122" s="92" t="str">
        <f ca="1">IF(AB122&gt;='⚙ Parámetros'!B23,"⚑ AUTO-PRIOR.(D1≥8)",IF(AJ122&gt;='⚙ Parámetros'!B23,"PRIORITARIO",IF(AJ122&gt;='⚙ Parámetros'!B24,"ALTA PRIORIDAD",IF(AJ122&gt;='⚙ Parámetros'!B25,"PRIORIDAD MEDIA",IF(AJ122&gt;='⚙ Parámetros'!B26,"BAJA PRIORIDAD","DESCARTAR")))))</f>
        <v>DESCARTAR</v>
      </c>
      <c r="AL122" s="69" t="str">
        <f t="shared" si="7"/>
        <v>—</v>
      </c>
      <c r="AM122" s="85">
        <v>25</v>
      </c>
      <c r="AN122" s="83" t="str">
        <f>IF(AM122="","—",IF(AM122&lt;'⚙ Parámetros'!B29,"🟢 Corto",IF(AM122&lt;'⚙ Parámetros'!B30,"🟡 Medio","🔴 Largo")))</f>
        <v>🟢 Corto</v>
      </c>
    </row>
    <row r="123" spans="1:40" ht="18.75" customHeight="1" x14ac:dyDescent="0.25">
      <c r="A123" s="69">
        <v>119</v>
      </c>
      <c r="B123" s="70" t="s">
        <v>357</v>
      </c>
      <c r="C123" s="4" t="s">
        <v>344</v>
      </c>
      <c r="D123" s="71" t="s">
        <v>139</v>
      </c>
      <c r="E123" s="72" t="s">
        <v>358</v>
      </c>
      <c r="F123" s="74">
        <v>1</v>
      </c>
      <c r="G123" s="74">
        <v>1</v>
      </c>
      <c r="H123" s="74">
        <v>1</v>
      </c>
      <c r="I123" s="74">
        <v>1</v>
      </c>
      <c r="J123" s="74">
        <v>1</v>
      </c>
      <c r="K123" s="74">
        <v>1</v>
      </c>
      <c r="L123" s="74">
        <v>1</v>
      </c>
      <c r="M123" s="73">
        <v>3</v>
      </c>
      <c r="N123" s="74">
        <v>1</v>
      </c>
      <c r="O123" s="74">
        <v>1</v>
      </c>
      <c r="P123" s="74">
        <v>1</v>
      </c>
      <c r="Q123" s="74">
        <v>1</v>
      </c>
      <c r="R123" s="76">
        <v>9</v>
      </c>
      <c r="S123" s="76">
        <v>9</v>
      </c>
      <c r="T123" s="73">
        <v>5</v>
      </c>
      <c r="U123" s="73">
        <v>5</v>
      </c>
      <c r="V123" s="73">
        <v>5</v>
      </c>
      <c r="W123" s="73">
        <v>6</v>
      </c>
      <c r="X123" s="73">
        <v>6</v>
      </c>
      <c r="Y123" s="73">
        <v>4</v>
      </c>
      <c r="Z123" s="74">
        <v>2</v>
      </c>
      <c r="AA123" s="73">
        <v>5</v>
      </c>
      <c r="AB123" s="80">
        <f>IFERROR((30/100*MAX('⚙ Parámetros'!D15/(1+2^(-'⚙ Parámetros'!C15*(F123-'⚙ Parámetros'!B15))),'⚙ Parámetros'!G15/(1+2^(-'⚙ Parámetros'!F15*(F123-'⚙ Parámetros'!E15))),1)*F123+30/100*MAX('⚙ Parámetros'!D15/(1+2^(-'⚙ Parámetros'!C15*(G123-'⚙ Parámetros'!B15))),'⚙ Parámetros'!G15/(1+2^(-'⚙ Parámetros'!F15*(G123-'⚙ Parámetros'!E15))),1)*G123+20/100*MAX('⚙ Parámetros'!D15/(1+2^(-'⚙ Parámetros'!C15*(H123-'⚙ Parámetros'!B15))),'⚙ Parámetros'!G15/(1+2^(-'⚙ Parámetros'!F15*(H123-'⚙ Parámetros'!E15))),1)*H123+20/100*MAX('⚙ Parámetros'!D15/(1+2^(-'⚙ Parámetros'!C15*(I123-'⚙ Parámetros'!B15))),'⚙ Parámetros'!G15/(1+2^(-'⚙ Parámetros'!F15*(I123-'⚙ Parámetros'!E15))),1)*I123)/(30/100*MAX('⚙ Parámetros'!D15/(1+2^(-'⚙ Parámetros'!C15*(F123-'⚙ Parámetros'!B15))),'⚙ Parámetros'!G15/(1+2^(-'⚙ Parámetros'!F15*(F123-'⚙ Parámetros'!E15))),1)+30/100*MAX('⚙ Parámetros'!D15/(1+2^(-'⚙ Parámetros'!C15*(G123-'⚙ Parámetros'!B15))),'⚙ Parámetros'!G15/(1+2^(-'⚙ Parámetros'!F15*(G123-'⚙ Parámetros'!E15))),1)+20/100*MAX('⚙ Parámetros'!D15/(1+2^(-'⚙ Parámetros'!C15*(H123-'⚙ Parámetros'!B15))),'⚙ Parámetros'!G15/(1+2^(-'⚙ Parámetros'!F15*(H123-'⚙ Parámetros'!E15))),1)+20/100*MAX('⚙ Parámetros'!D15/(1+2^(-'⚙ Parámetros'!C15*(I123-'⚙ Parámetros'!B15))),'⚙ Parámetros'!G15/(1+2^(-'⚙ Parámetros'!F15*(I123-'⚙ Parámetros'!E15))),1)),0)</f>
        <v>1</v>
      </c>
      <c r="AC123" s="80">
        <f>IFERROR((35/100*MAX('⚙ Parámetros'!D16/(1+2^(-'⚙ Parámetros'!C16*(J123-'⚙ Parámetros'!B16))),'⚙ Parámetros'!G16/(1+2^(-'⚙ Parámetros'!F16*(J123-'⚙ Parámetros'!E16))),1)*J123+25/100*MAX('⚙ Parámetros'!D16/(1+2^(-'⚙ Parámetros'!C16*(K123-'⚙ Parámetros'!B16))),'⚙ Parámetros'!G16/(1+2^(-'⚙ Parámetros'!F16*(K123-'⚙ Parámetros'!E16))),1)*K123+20/100*MAX('⚙ Parámetros'!D16/(1+2^(-'⚙ Parámetros'!C16*(L123-'⚙ Parámetros'!B16))),'⚙ Parámetros'!G16/(1+2^(-'⚙ Parámetros'!F16*(L123-'⚙ Parámetros'!E16))),1)*L123+20/100*MAX('⚙ Parámetros'!D16/(1+2^(-'⚙ Parámetros'!C16*(M123-'⚙ Parámetros'!B16))),'⚙ Parámetros'!G16/(1+2^(-'⚙ Parámetros'!F16*(M123-'⚙ Parámetros'!E16))),1)*M123)/(35/100*MAX('⚙ Parámetros'!D16/(1+2^(-'⚙ Parámetros'!C16*(J123-'⚙ Parámetros'!B16))),'⚙ Parámetros'!G16/(1+2^(-'⚙ Parámetros'!F16*(J123-'⚙ Parámetros'!E16))),1)+25/100*MAX('⚙ Parámetros'!D16/(1+2^(-'⚙ Parámetros'!C16*(K123-'⚙ Parámetros'!B16))),'⚙ Parámetros'!G16/(1+2^(-'⚙ Parámetros'!F16*(K123-'⚙ Parámetros'!E16))),1)+20/100*MAX('⚙ Parámetros'!D16/(1+2^(-'⚙ Parámetros'!C16*(L123-'⚙ Parámetros'!B16))),'⚙ Parámetros'!G16/(1+2^(-'⚙ Parámetros'!F16*(L123-'⚙ Parámetros'!E16))),1)+20/100*MAX('⚙ Parámetros'!D16/(1+2^(-'⚙ Parámetros'!C16*(M123-'⚙ Parámetros'!B16))),'⚙ Parámetros'!G16/(1+2^(-'⚙ Parámetros'!F16*(M123-'⚙ Parámetros'!E16))),1)),0)</f>
        <v>1.4000000000000001</v>
      </c>
      <c r="AD123" s="80">
        <f>IFERROR((30/100*MAX('⚙ Parámetros'!D17/(1+2^(-'⚙ Parámetros'!C17*(N123-'⚙ Parámetros'!B17))),'⚙ Parámetros'!G17/(1+2^(-'⚙ Parámetros'!F17*(N123-'⚙ Parámetros'!E17))),1)*N123+25/100*MAX('⚙ Parámetros'!D17/(1+2^(-'⚙ Parámetros'!C17*(O123-'⚙ Parámetros'!B17))),'⚙ Parámetros'!G17/(1+2^(-'⚙ Parámetros'!F17*(O123-'⚙ Parámetros'!E17))),1)*O123+25/100*MAX('⚙ Parámetros'!D17/(1+2^(-'⚙ Parámetros'!C17*(P123-'⚙ Parámetros'!B17))),'⚙ Parámetros'!G17/(1+2^(-'⚙ Parámetros'!F17*(P123-'⚙ Parámetros'!E17))),1)*P123+20/100*MAX('⚙ Parámetros'!D17/(1+2^(-'⚙ Parámetros'!C17*(Q123-'⚙ Parámetros'!B17))),'⚙ Parámetros'!G17/(1+2^(-'⚙ Parámetros'!F17*(Q123-'⚙ Parámetros'!E17))),1)*Q123)/(30/100*MAX('⚙ Parámetros'!D17/(1+2^(-'⚙ Parámetros'!C17*(N123-'⚙ Parámetros'!B17))),'⚙ Parámetros'!G17/(1+2^(-'⚙ Parámetros'!F17*(N123-'⚙ Parámetros'!E17))),1)+25/100*MAX('⚙ Parámetros'!D17/(1+2^(-'⚙ Parámetros'!C17*(O123-'⚙ Parámetros'!B17))),'⚙ Parámetros'!G17/(1+2^(-'⚙ Parámetros'!F17*(O123-'⚙ Parámetros'!E17))),1)+25/100*MAX('⚙ Parámetros'!D17/(1+2^(-'⚙ Parámetros'!C17*(P123-'⚙ Parámetros'!B17))),'⚙ Parámetros'!G17/(1+2^(-'⚙ Parámetros'!F17*(P123-'⚙ Parámetros'!E17))),1)+20/100*MAX('⚙ Parámetros'!D17/(1+2^(-'⚙ Parámetros'!C17*(Q123-'⚙ Parámetros'!B17))),'⚙ Parámetros'!G17/(1+2^(-'⚙ Parámetros'!F17*(Q123-'⚙ Parámetros'!E17))),1)),0)</f>
        <v>1</v>
      </c>
      <c r="AE123" s="80">
        <f>IFERROR((30/100*MAX('⚙ Parámetros'!D18/(1+2^(-'⚙ Parámetros'!C18*(R123-'⚙ Parámetros'!B18))),'⚙ Parámetros'!G18/(1+2^(-'⚙ Parámetros'!F18*(R123-'⚙ Parámetros'!E18))),1)*R123+30/100*MAX('⚙ Parámetros'!D18/(1+2^(-'⚙ Parámetros'!C18*(S123-'⚙ Parámetros'!B18))),'⚙ Parámetros'!G18/(1+2^(-'⚙ Parámetros'!F18*(S123-'⚙ Parámetros'!E18))),1)*S123+20/100*MAX('⚙ Parámetros'!D18/(1+2^(-'⚙ Parámetros'!C18*(T123-'⚙ Parámetros'!B18))),'⚙ Parámetros'!G18/(1+2^(-'⚙ Parámetros'!F18*(T123-'⚙ Parámetros'!E18))),1)*T123+20/100*MAX('⚙ Parámetros'!D18/(1+2^(-'⚙ Parámetros'!C18*(U123-'⚙ Parámetros'!B18))),'⚙ Parámetros'!G18/(1+2^(-'⚙ Parámetros'!F18*(U123-'⚙ Parámetros'!E18))),1)*U123)/(30/100*MAX('⚙ Parámetros'!D18/(1+2^(-'⚙ Parámetros'!C18*(R123-'⚙ Parámetros'!B18))),'⚙ Parámetros'!G18/(1+2^(-'⚙ Parámetros'!F18*(R123-'⚙ Parámetros'!E18))),1)+30/100*MAX('⚙ Parámetros'!D18/(1+2^(-'⚙ Parámetros'!C18*(S123-'⚙ Parámetros'!B18))),'⚙ Parámetros'!G18/(1+2^(-'⚙ Parámetros'!F18*(S123-'⚙ Parámetros'!E18))),1)+20/100*MAX('⚙ Parámetros'!D18/(1+2^(-'⚙ Parámetros'!C18*(T123-'⚙ Parámetros'!B18))),'⚙ Parámetros'!G18/(1+2^(-'⚙ Parámetros'!F18*(T123-'⚙ Parámetros'!E18))),1)+20/100*MAX('⚙ Parámetros'!D18/(1+2^(-'⚙ Parámetros'!C18*(U123-'⚙ Parámetros'!B18))),'⚙ Parámetros'!G18/(1+2^(-'⚙ Parámetros'!F18*(U123-'⚙ Parámetros'!E18))),1)),0)</f>
        <v>8.1801060365339655</v>
      </c>
      <c r="AF123" s="80">
        <f>IFERROR((30/100*MAX('⚙ Parámetros'!D19/(1+2^(-'⚙ Parámetros'!C19*(V123-'⚙ Parámetros'!B19))),'⚙ Parámetros'!G19/(1+2^(-'⚙ Parámetros'!F19*(V123-'⚙ Parámetros'!E19))),1)*V123+35/100*MAX('⚙ Parámetros'!D19/(1+2^(-'⚙ Parámetros'!C19*(W123-'⚙ Parámetros'!B19))),'⚙ Parámetros'!G19/(1+2^(-'⚙ Parámetros'!F19*(W123-'⚙ Parámetros'!E19))),1)*W123+35/100*MAX('⚙ Parámetros'!D19/(1+2^(-'⚙ Parámetros'!C19*(X123-'⚙ Parámetros'!B19))),'⚙ Parámetros'!G19/(1+2^(-'⚙ Parámetros'!F19*(X123-'⚙ Parámetros'!E19))),1)*X123)/(30/100*MAX('⚙ Parámetros'!D19/(1+2^(-'⚙ Parámetros'!C19*(V123-'⚙ Parámetros'!B19))),'⚙ Parámetros'!G19/(1+2^(-'⚙ Parámetros'!F19*(V123-'⚙ Parámetros'!E19))),1)+35/100*MAX('⚙ Parámetros'!D19/(1+2^(-'⚙ Parámetros'!C19*(W123-'⚙ Parámetros'!B19))),'⚙ Parámetros'!G19/(1+2^(-'⚙ Parámetros'!F19*(W123-'⚙ Parámetros'!E19))),1)+35/100*MAX('⚙ Parámetros'!D19/(1+2^(-'⚙ Parámetros'!C19*(X123-'⚙ Parámetros'!B19))),'⚙ Parámetros'!G19/(1+2^(-'⚙ Parámetros'!F19*(X123-'⚙ Parámetros'!E19))),1)),0)</f>
        <v>5.7368421052631575</v>
      </c>
      <c r="AG123" s="80">
        <f>IFERROR((35/100*MAX('⚙ Parámetros'!D20/(1+2^(-'⚙ Parámetros'!C20*(Y123-'⚙ Parámetros'!B20))),'⚙ Parámetros'!G20/(1+2^(-'⚙ Parámetros'!F20*(Y123-'⚙ Parámetros'!E20))),1)*Y123+35/100*MAX('⚙ Parámetros'!D20/(1+2^(-'⚙ Parámetros'!C20*(Z123-'⚙ Parámetros'!B20))),'⚙ Parámetros'!G20/(1+2^(-'⚙ Parámetros'!F20*(Z123-'⚙ Parámetros'!E20))),1)*Z123+30/100*MAX('⚙ Parámetros'!D20/(1+2^(-'⚙ Parámetros'!C20*(AA123-'⚙ Parámetros'!B20))),'⚙ Parámetros'!G20/(1+2^(-'⚙ Parámetros'!F20*(AA123-'⚙ Parámetros'!E20))),1)*AA123)/(35/100*MAX('⚙ Parámetros'!D20/(1+2^(-'⚙ Parámetros'!C20*(Y123-'⚙ Parámetros'!B20))),'⚙ Parámetros'!G20/(1+2^(-'⚙ Parámetros'!F20*(Y123-'⚙ Parámetros'!E20))),1)+35/100*MAX('⚙ Parámetros'!D20/(1+2^(-'⚙ Parámetros'!C20*(Z123-'⚙ Parámetros'!B20))),'⚙ Parámetros'!G20/(1+2^(-'⚙ Parámetros'!F20*(Z123-'⚙ Parámetros'!E20))),1)+30/100*MAX('⚙ Parámetros'!D20/(1+2^(-'⚙ Parámetros'!C20*(AA123-'⚙ Parámetros'!B20))),'⚙ Parámetros'!G20/(1+2^(-'⚙ Parámetros'!F20*(AA123-'⚙ Parámetros'!E20))),1)),0)</f>
        <v>3.7272727272727275</v>
      </c>
      <c r="AH123" s="81">
        <f>('⚙ Parámetros'!B5/100*AB123+'⚙ Parámetros'!B6/100*AC123+'⚙ Parámetros'!B7/100*AD123+'⚙ Parámetros'!B8/100*AE123+'⚙ Parámetros'!B9/100*AF123+'⚙ Parámetros'!B10/100*AG123)</f>
        <v>2.6334787530922097</v>
      </c>
      <c r="AI123" s="33">
        <f ca="1">MIN(1+MAX(0,TODAY()-DATE(2025,10,13))/365*'⚙ Parámetros'!B33,'⚙ Parámetros'!B34)</f>
        <v>1.0994520547945206</v>
      </c>
      <c r="AJ123" s="82">
        <f t="shared" ca="1" si="6"/>
        <v>2.895383626344942</v>
      </c>
      <c r="AK123" s="83" t="str">
        <f ca="1">IF(AB123&gt;='⚙ Parámetros'!B23,"⚑ AUTO-PRIOR.(D1≥8)",IF(AJ123&gt;='⚙ Parámetros'!B23,"PRIORITARIO",IF(AJ123&gt;='⚙ Parámetros'!B24,"ALTA PRIORIDAD",IF(AJ123&gt;='⚙ Parámetros'!B25,"PRIORIDAD MEDIA",IF(AJ123&gt;='⚙ Parámetros'!B26,"BAJA PRIORIDAD","DESCARTAR")))))</f>
        <v>DESCARTAR</v>
      </c>
      <c r="AL123" s="84" t="str">
        <f t="shared" si="7"/>
        <v>—</v>
      </c>
      <c r="AM123" s="85">
        <v>19</v>
      </c>
      <c r="AN123" s="83" t="str">
        <f>IF(AM123="","—",IF(AM123&lt;'⚙ Parámetros'!B29,"🟢 Corto",IF(AM123&lt;'⚙ Parámetros'!B30,"🟡 Medio","🔴 Largo")))</f>
        <v>🟢 Corto</v>
      </c>
    </row>
    <row r="124" spans="1:40" ht="18.75" customHeight="1" x14ac:dyDescent="0.25">
      <c r="A124" s="69">
        <v>120</v>
      </c>
      <c r="B124" s="30" t="s">
        <v>359</v>
      </c>
      <c r="C124" s="26" t="s">
        <v>147</v>
      </c>
      <c r="D124" s="71" t="s">
        <v>136</v>
      </c>
      <c r="E124" s="72" t="s">
        <v>237</v>
      </c>
      <c r="F124" s="74">
        <v>1</v>
      </c>
      <c r="G124" s="74">
        <v>1</v>
      </c>
      <c r="H124" s="74">
        <v>1</v>
      </c>
      <c r="I124" s="74">
        <v>1</v>
      </c>
      <c r="J124" s="74">
        <v>1</v>
      </c>
      <c r="K124" s="74">
        <v>1</v>
      </c>
      <c r="L124" s="74">
        <v>1</v>
      </c>
      <c r="M124" s="86">
        <v>3</v>
      </c>
      <c r="N124" s="74">
        <v>1</v>
      </c>
      <c r="O124" s="74">
        <v>1</v>
      </c>
      <c r="P124" s="74">
        <v>1</v>
      </c>
      <c r="Q124" s="74">
        <v>1</v>
      </c>
      <c r="R124" s="86">
        <v>5</v>
      </c>
      <c r="S124" s="86">
        <v>5</v>
      </c>
      <c r="T124" s="86">
        <v>5</v>
      </c>
      <c r="U124" s="86">
        <v>5</v>
      </c>
      <c r="V124" s="77">
        <v>8</v>
      </c>
      <c r="W124" s="86">
        <v>6</v>
      </c>
      <c r="X124" s="77">
        <v>9</v>
      </c>
      <c r="Y124" s="86">
        <v>4</v>
      </c>
      <c r="Z124" s="74">
        <v>2</v>
      </c>
      <c r="AA124" s="86">
        <v>5</v>
      </c>
      <c r="AB124" s="89">
        <f>IFERROR((30/100*MAX('⚙ Parámetros'!D15/(1+2^(-'⚙ Parámetros'!C15*(F124-'⚙ Parámetros'!B15))),'⚙ Parámetros'!G15/(1+2^(-'⚙ Parámetros'!F15*(F124-'⚙ Parámetros'!E15))),1)*F124+30/100*MAX('⚙ Parámetros'!D15/(1+2^(-'⚙ Parámetros'!C15*(G124-'⚙ Parámetros'!B15))),'⚙ Parámetros'!G15/(1+2^(-'⚙ Parámetros'!F15*(G124-'⚙ Parámetros'!E15))),1)*G124+20/100*MAX('⚙ Parámetros'!D15/(1+2^(-'⚙ Parámetros'!C15*(H124-'⚙ Parámetros'!B15))),'⚙ Parámetros'!G15/(1+2^(-'⚙ Parámetros'!F15*(H124-'⚙ Parámetros'!E15))),1)*H124+20/100*MAX('⚙ Parámetros'!D15/(1+2^(-'⚙ Parámetros'!C15*(I124-'⚙ Parámetros'!B15))),'⚙ Parámetros'!G15/(1+2^(-'⚙ Parámetros'!F15*(I124-'⚙ Parámetros'!E15))),1)*I124)/(30/100*MAX('⚙ Parámetros'!D15/(1+2^(-'⚙ Parámetros'!C15*(F124-'⚙ Parámetros'!B15))),'⚙ Parámetros'!G15/(1+2^(-'⚙ Parámetros'!F15*(F124-'⚙ Parámetros'!E15))),1)+30/100*MAX('⚙ Parámetros'!D15/(1+2^(-'⚙ Parámetros'!C15*(G124-'⚙ Parámetros'!B15))),'⚙ Parámetros'!G15/(1+2^(-'⚙ Parámetros'!F15*(G124-'⚙ Parámetros'!E15))),1)+20/100*MAX('⚙ Parámetros'!D15/(1+2^(-'⚙ Parámetros'!C15*(H124-'⚙ Parámetros'!B15))),'⚙ Parámetros'!G15/(1+2^(-'⚙ Parámetros'!F15*(H124-'⚙ Parámetros'!E15))),1)+20/100*MAX('⚙ Parámetros'!D15/(1+2^(-'⚙ Parámetros'!C15*(I124-'⚙ Parámetros'!B15))),'⚙ Parámetros'!G15/(1+2^(-'⚙ Parámetros'!F15*(I124-'⚙ Parámetros'!E15))),1)),0)</f>
        <v>1</v>
      </c>
      <c r="AC124" s="89">
        <f>IFERROR((35/100*MAX('⚙ Parámetros'!D16/(1+2^(-'⚙ Parámetros'!C16*(J124-'⚙ Parámetros'!B16))),'⚙ Parámetros'!G16/(1+2^(-'⚙ Parámetros'!F16*(J124-'⚙ Parámetros'!E16))),1)*J124+25/100*MAX('⚙ Parámetros'!D16/(1+2^(-'⚙ Parámetros'!C16*(K124-'⚙ Parámetros'!B16))),'⚙ Parámetros'!G16/(1+2^(-'⚙ Parámetros'!F16*(K124-'⚙ Parámetros'!E16))),1)*K124+20/100*MAX('⚙ Parámetros'!D16/(1+2^(-'⚙ Parámetros'!C16*(L124-'⚙ Parámetros'!B16))),'⚙ Parámetros'!G16/(1+2^(-'⚙ Parámetros'!F16*(L124-'⚙ Parámetros'!E16))),1)*L124+20/100*MAX('⚙ Parámetros'!D16/(1+2^(-'⚙ Parámetros'!C16*(M124-'⚙ Parámetros'!B16))),'⚙ Parámetros'!G16/(1+2^(-'⚙ Parámetros'!F16*(M124-'⚙ Parámetros'!E16))),1)*M124)/(35/100*MAX('⚙ Parámetros'!D16/(1+2^(-'⚙ Parámetros'!C16*(J124-'⚙ Parámetros'!B16))),'⚙ Parámetros'!G16/(1+2^(-'⚙ Parámetros'!F16*(J124-'⚙ Parámetros'!E16))),1)+25/100*MAX('⚙ Parámetros'!D16/(1+2^(-'⚙ Parámetros'!C16*(K124-'⚙ Parámetros'!B16))),'⚙ Parámetros'!G16/(1+2^(-'⚙ Parámetros'!F16*(K124-'⚙ Parámetros'!E16))),1)+20/100*MAX('⚙ Parámetros'!D16/(1+2^(-'⚙ Parámetros'!C16*(L124-'⚙ Parámetros'!B16))),'⚙ Parámetros'!G16/(1+2^(-'⚙ Parámetros'!F16*(L124-'⚙ Parámetros'!E16))),1)+20/100*MAX('⚙ Parámetros'!D16/(1+2^(-'⚙ Parámetros'!C16*(M124-'⚙ Parámetros'!B16))),'⚙ Parámetros'!G16/(1+2^(-'⚙ Parámetros'!F16*(M124-'⚙ Parámetros'!E16))),1)),0)</f>
        <v>1.4000000000000001</v>
      </c>
      <c r="AD124" s="89">
        <f>IFERROR((30/100*MAX('⚙ Parámetros'!D17/(1+2^(-'⚙ Parámetros'!C17*(N124-'⚙ Parámetros'!B17))),'⚙ Parámetros'!G17/(1+2^(-'⚙ Parámetros'!F17*(N124-'⚙ Parámetros'!E17))),1)*N124+25/100*MAX('⚙ Parámetros'!D17/(1+2^(-'⚙ Parámetros'!C17*(O124-'⚙ Parámetros'!B17))),'⚙ Parámetros'!G17/(1+2^(-'⚙ Parámetros'!F17*(O124-'⚙ Parámetros'!E17))),1)*O124+25/100*MAX('⚙ Parámetros'!D17/(1+2^(-'⚙ Parámetros'!C17*(P124-'⚙ Parámetros'!B17))),'⚙ Parámetros'!G17/(1+2^(-'⚙ Parámetros'!F17*(P124-'⚙ Parámetros'!E17))),1)*P124+20/100*MAX('⚙ Parámetros'!D17/(1+2^(-'⚙ Parámetros'!C17*(Q124-'⚙ Parámetros'!B17))),'⚙ Parámetros'!G17/(1+2^(-'⚙ Parámetros'!F17*(Q124-'⚙ Parámetros'!E17))),1)*Q124)/(30/100*MAX('⚙ Parámetros'!D17/(1+2^(-'⚙ Parámetros'!C17*(N124-'⚙ Parámetros'!B17))),'⚙ Parámetros'!G17/(1+2^(-'⚙ Parámetros'!F17*(N124-'⚙ Parámetros'!E17))),1)+25/100*MAX('⚙ Parámetros'!D17/(1+2^(-'⚙ Parámetros'!C17*(O124-'⚙ Parámetros'!B17))),'⚙ Parámetros'!G17/(1+2^(-'⚙ Parámetros'!F17*(O124-'⚙ Parámetros'!E17))),1)+25/100*MAX('⚙ Parámetros'!D17/(1+2^(-'⚙ Parámetros'!C17*(P124-'⚙ Parámetros'!B17))),'⚙ Parámetros'!G17/(1+2^(-'⚙ Parámetros'!F17*(P124-'⚙ Parámetros'!E17))),1)+20/100*MAX('⚙ Parámetros'!D17/(1+2^(-'⚙ Parámetros'!C17*(Q124-'⚙ Parámetros'!B17))),'⚙ Parámetros'!G17/(1+2^(-'⚙ Parámetros'!F17*(Q124-'⚙ Parámetros'!E17))),1)),0)</f>
        <v>1</v>
      </c>
      <c r="AE124" s="89">
        <f>IFERROR((30/100*MAX('⚙ Parámetros'!D18/(1+2^(-'⚙ Parámetros'!C18*(R124-'⚙ Parámetros'!B18))),'⚙ Parámetros'!G18/(1+2^(-'⚙ Parámetros'!F18*(R124-'⚙ Parámetros'!E18))),1)*R124+30/100*MAX('⚙ Parámetros'!D18/(1+2^(-'⚙ Parámetros'!C18*(S124-'⚙ Parámetros'!B18))),'⚙ Parámetros'!G18/(1+2^(-'⚙ Parámetros'!F18*(S124-'⚙ Parámetros'!E18))),1)*S124+20/100*MAX('⚙ Parámetros'!D18/(1+2^(-'⚙ Parámetros'!C18*(T124-'⚙ Parámetros'!B18))),'⚙ Parámetros'!G18/(1+2^(-'⚙ Parámetros'!F18*(T124-'⚙ Parámetros'!E18))),1)*T124+20/100*MAX('⚙ Parámetros'!D18/(1+2^(-'⚙ Parámetros'!C18*(U124-'⚙ Parámetros'!B18))),'⚙ Parámetros'!G18/(1+2^(-'⚙ Parámetros'!F18*(U124-'⚙ Parámetros'!E18))),1)*U124)/(30/100*MAX('⚙ Parámetros'!D18/(1+2^(-'⚙ Parámetros'!C18*(R124-'⚙ Parámetros'!B18))),'⚙ Parámetros'!G18/(1+2^(-'⚙ Parámetros'!F18*(R124-'⚙ Parámetros'!E18))),1)+30/100*MAX('⚙ Parámetros'!D18/(1+2^(-'⚙ Parámetros'!C18*(S124-'⚙ Parámetros'!B18))),'⚙ Parámetros'!G18/(1+2^(-'⚙ Parámetros'!F18*(S124-'⚙ Parámetros'!E18))),1)+20/100*MAX('⚙ Parámetros'!D18/(1+2^(-'⚙ Parámetros'!C18*(T124-'⚙ Parámetros'!B18))),'⚙ Parámetros'!G18/(1+2^(-'⚙ Parámetros'!F18*(T124-'⚙ Parámetros'!E18))),1)+20/100*MAX('⚙ Parámetros'!D18/(1+2^(-'⚙ Parámetros'!C18*(U124-'⚙ Parámetros'!B18))),'⚙ Parámetros'!G18/(1+2^(-'⚙ Parámetros'!F18*(U124-'⚙ Parámetros'!E18))),1)),0)</f>
        <v>5</v>
      </c>
      <c r="AF124" s="89">
        <f>IFERROR((30/100*MAX('⚙ Parámetros'!D19/(1+2^(-'⚙ Parámetros'!C19*(V124-'⚙ Parámetros'!B19))),'⚙ Parámetros'!G19/(1+2^(-'⚙ Parámetros'!F19*(V124-'⚙ Parámetros'!E19))),1)*V124+35/100*MAX('⚙ Parámetros'!D19/(1+2^(-'⚙ Parámetros'!C19*(W124-'⚙ Parámetros'!B19))),'⚙ Parámetros'!G19/(1+2^(-'⚙ Parámetros'!F19*(W124-'⚙ Parámetros'!E19))),1)*W124+35/100*MAX('⚙ Parámetros'!D19/(1+2^(-'⚙ Parámetros'!C19*(X124-'⚙ Parámetros'!B19))),'⚙ Parámetros'!G19/(1+2^(-'⚙ Parámetros'!F19*(X124-'⚙ Parámetros'!E19))),1)*X124)/(30/100*MAX('⚙ Parámetros'!D19/(1+2^(-'⚙ Parámetros'!C19*(V124-'⚙ Parámetros'!B19))),'⚙ Parámetros'!G19/(1+2^(-'⚙ Parámetros'!F19*(V124-'⚙ Parámetros'!E19))),1)+35/100*MAX('⚙ Parámetros'!D19/(1+2^(-'⚙ Parámetros'!C19*(W124-'⚙ Parámetros'!B19))),'⚙ Parámetros'!G19/(1+2^(-'⚙ Parámetros'!F19*(W124-'⚙ Parámetros'!E19))),1)+35/100*MAX('⚙ Parámetros'!D19/(1+2^(-'⚙ Parámetros'!C19*(X124-'⚙ Parámetros'!B19))),'⚙ Parámetros'!G19/(1+2^(-'⚙ Parámetros'!F19*(X124-'⚙ Parámetros'!E19))),1)),0)</f>
        <v>8.0351483057098907</v>
      </c>
      <c r="AG124" s="89">
        <f>IFERROR((35/100*MAX('⚙ Parámetros'!D20/(1+2^(-'⚙ Parámetros'!C20*(Y124-'⚙ Parámetros'!B20))),'⚙ Parámetros'!G20/(1+2^(-'⚙ Parámetros'!F20*(Y124-'⚙ Parámetros'!E20))),1)*Y124+35/100*MAX('⚙ Parámetros'!D20/(1+2^(-'⚙ Parámetros'!C20*(Z124-'⚙ Parámetros'!B20))),'⚙ Parámetros'!G20/(1+2^(-'⚙ Parámetros'!F20*(Z124-'⚙ Parámetros'!E20))),1)*Z124+30/100*MAX('⚙ Parámetros'!D20/(1+2^(-'⚙ Parámetros'!C20*(AA124-'⚙ Parámetros'!B20))),'⚙ Parámetros'!G20/(1+2^(-'⚙ Parámetros'!F20*(AA124-'⚙ Parámetros'!E20))),1)*AA124)/(35/100*MAX('⚙ Parámetros'!D20/(1+2^(-'⚙ Parámetros'!C20*(Y124-'⚙ Parámetros'!B20))),'⚙ Parámetros'!G20/(1+2^(-'⚙ Parámetros'!F20*(Y124-'⚙ Parámetros'!E20))),1)+35/100*MAX('⚙ Parámetros'!D20/(1+2^(-'⚙ Parámetros'!C20*(Z124-'⚙ Parámetros'!B20))),'⚙ Parámetros'!G20/(1+2^(-'⚙ Parámetros'!F20*(Z124-'⚙ Parámetros'!E20))),1)+30/100*MAX('⚙ Parámetros'!D20/(1+2^(-'⚙ Parámetros'!C20*(AA124-'⚙ Parámetros'!B20))),'⚙ Parámetros'!G20/(1+2^(-'⚙ Parámetros'!F20*(AA124-'⚙ Parámetros'!E20))),1)),0)</f>
        <v>3.7272727272727275</v>
      </c>
      <c r="AH124" s="90">
        <f>('⚙ Parámetros'!B5/100*AB124+'⚙ Parámetros'!B6/100*AC124+'⚙ Parámetros'!B7/100*AD124+'⚙ Parámetros'!B8/100*AE124+'⚙ Parámetros'!B9/100*AF124+'⚙ Parámetros'!B10/100*AG124)</f>
        <v>2.4816966487528074</v>
      </c>
      <c r="AI124" s="91">
        <f ca="1">MIN(1+MAX(0,TODAY()-DATE(2026,2,25))/365*'⚙ Parámetros'!B33,'⚙ Parámetros'!B34)</f>
        <v>1.043972602739726</v>
      </c>
      <c r="AJ124" s="82">
        <f t="shared" ca="1" si="6"/>
        <v>2.5908233096089242</v>
      </c>
      <c r="AK124" s="92" t="str">
        <f ca="1">IF(AB124&gt;='⚙ Parámetros'!B23,"⚑ AUTO-PRIOR.(D1≥8)",IF(AJ124&gt;='⚙ Parámetros'!B23,"PRIORITARIO",IF(AJ124&gt;='⚙ Parámetros'!B24,"ALTA PRIORIDAD",IF(AJ124&gt;='⚙ Parámetros'!B25,"PRIORIDAD MEDIA",IF(AJ124&gt;='⚙ Parámetros'!B26,"BAJA PRIORIDAD","DESCARTAR")))))</f>
        <v>DESCARTAR</v>
      </c>
      <c r="AL124" s="69" t="str">
        <f t="shared" si="7"/>
        <v>—</v>
      </c>
      <c r="AM124" s="85">
        <v>17</v>
      </c>
      <c r="AN124" s="83" t="str">
        <f>IF(AM124="","—",IF(AM124&lt;'⚙ Parámetros'!B29,"🟢 Corto",IF(AM124&lt;'⚙ Parámetros'!B30,"🟡 Medio","🔴 Largo")))</f>
        <v>🟢 Corto</v>
      </c>
    </row>
    <row r="125" spans="1:40" ht="18.75" customHeight="1" x14ac:dyDescent="0.25">
      <c r="A125" s="69">
        <v>121</v>
      </c>
      <c r="B125" s="70" t="s">
        <v>360</v>
      </c>
      <c r="C125" s="4" t="s">
        <v>135</v>
      </c>
      <c r="D125" s="71" t="s">
        <v>136</v>
      </c>
      <c r="E125" s="72" t="s">
        <v>326</v>
      </c>
      <c r="F125" s="74">
        <v>1</v>
      </c>
      <c r="G125" s="74">
        <v>1</v>
      </c>
      <c r="H125" s="74">
        <v>1</v>
      </c>
      <c r="I125" s="74">
        <v>1</v>
      </c>
      <c r="J125" s="74">
        <v>1</v>
      </c>
      <c r="K125" s="74">
        <v>1</v>
      </c>
      <c r="L125" s="74">
        <v>1</v>
      </c>
      <c r="M125" s="73">
        <v>3</v>
      </c>
      <c r="N125" s="74">
        <v>1</v>
      </c>
      <c r="O125" s="74">
        <v>1</v>
      </c>
      <c r="P125" s="74">
        <v>1</v>
      </c>
      <c r="Q125" s="74">
        <v>1</v>
      </c>
      <c r="R125" s="73">
        <v>5</v>
      </c>
      <c r="S125" s="73">
        <v>5</v>
      </c>
      <c r="T125" s="73">
        <v>5</v>
      </c>
      <c r="U125" s="73">
        <v>5</v>
      </c>
      <c r="V125" s="77">
        <v>8</v>
      </c>
      <c r="W125" s="73">
        <v>6</v>
      </c>
      <c r="X125" s="77">
        <v>9</v>
      </c>
      <c r="Y125" s="73">
        <v>4</v>
      </c>
      <c r="Z125" s="74">
        <v>2</v>
      </c>
      <c r="AA125" s="73">
        <v>5</v>
      </c>
      <c r="AB125" s="80">
        <f>IFERROR((30/100*MAX('⚙ Parámetros'!D15/(1+2^(-'⚙ Parámetros'!C15*(F125-'⚙ Parámetros'!B15))),'⚙ Parámetros'!G15/(1+2^(-'⚙ Parámetros'!F15*(F125-'⚙ Parámetros'!E15))),1)*F125+30/100*MAX('⚙ Parámetros'!D15/(1+2^(-'⚙ Parámetros'!C15*(G125-'⚙ Parámetros'!B15))),'⚙ Parámetros'!G15/(1+2^(-'⚙ Parámetros'!F15*(G125-'⚙ Parámetros'!E15))),1)*G125+20/100*MAX('⚙ Parámetros'!D15/(1+2^(-'⚙ Parámetros'!C15*(H125-'⚙ Parámetros'!B15))),'⚙ Parámetros'!G15/(1+2^(-'⚙ Parámetros'!F15*(H125-'⚙ Parámetros'!E15))),1)*H125+20/100*MAX('⚙ Parámetros'!D15/(1+2^(-'⚙ Parámetros'!C15*(I125-'⚙ Parámetros'!B15))),'⚙ Parámetros'!G15/(1+2^(-'⚙ Parámetros'!F15*(I125-'⚙ Parámetros'!E15))),1)*I125)/(30/100*MAX('⚙ Parámetros'!D15/(1+2^(-'⚙ Parámetros'!C15*(F125-'⚙ Parámetros'!B15))),'⚙ Parámetros'!G15/(1+2^(-'⚙ Parámetros'!F15*(F125-'⚙ Parámetros'!E15))),1)+30/100*MAX('⚙ Parámetros'!D15/(1+2^(-'⚙ Parámetros'!C15*(G125-'⚙ Parámetros'!B15))),'⚙ Parámetros'!G15/(1+2^(-'⚙ Parámetros'!F15*(G125-'⚙ Parámetros'!E15))),1)+20/100*MAX('⚙ Parámetros'!D15/(1+2^(-'⚙ Parámetros'!C15*(H125-'⚙ Parámetros'!B15))),'⚙ Parámetros'!G15/(1+2^(-'⚙ Parámetros'!F15*(H125-'⚙ Parámetros'!E15))),1)+20/100*MAX('⚙ Parámetros'!D15/(1+2^(-'⚙ Parámetros'!C15*(I125-'⚙ Parámetros'!B15))),'⚙ Parámetros'!G15/(1+2^(-'⚙ Parámetros'!F15*(I125-'⚙ Parámetros'!E15))),1)),0)</f>
        <v>1</v>
      </c>
      <c r="AC125" s="80">
        <f>IFERROR((35/100*MAX('⚙ Parámetros'!D16/(1+2^(-'⚙ Parámetros'!C16*(J125-'⚙ Parámetros'!B16))),'⚙ Parámetros'!G16/(1+2^(-'⚙ Parámetros'!F16*(J125-'⚙ Parámetros'!E16))),1)*J125+25/100*MAX('⚙ Parámetros'!D16/(1+2^(-'⚙ Parámetros'!C16*(K125-'⚙ Parámetros'!B16))),'⚙ Parámetros'!G16/(1+2^(-'⚙ Parámetros'!F16*(K125-'⚙ Parámetros'!E16))),1)*K125+20/100*MAX('⚙ Parámetros'!D16/(1+2^(-'⚙ Parámetros'!C16*(L125-'⚙ Parámetros'!B16))),'⚙ Parámetros'!G16/(1+2^(-'⚙ Parámetros'!F16*(L125-'⚙ Parámetros'!E16))),1)*L125+20/100*MAX('⚙ Parámetros'!D16/(1+2^(-'⚙ Parámetros'!C16*(M125-'⚙ Parámetros'!B16))),'⚙ Parámetros'!G16/(1+2^(-'⚙ Parámetros'!F16*(M125-'⚙ Parámetros'!E16))),1)*M125)/(35/100*MAX('⚙ Parámetros'!D16/(1+2^(-'⚙ Parámetros'!C16*(J125-'⚙ Parámetros'!B16))),'⚙ Parámetros'!G16/(1+2^(-'⚙ Parámetros'!F16*(J125-'⚙ Parámetros'!E16))),1)+25/100*MAX('⚙ Parámetros'!D16/(1+2^(-'⚙ Parámetros'!C16*(K125-'⚙ Parámetros'!B16))),'⚙ Parámetros'!G16/(1+2^(-'⚙ Parámetros'!F16*(K125-'⚙ Parámetros'!E16))),1)+20/100*MAX('⚙ Parámetros'!D16/(1+2^(-'⚙ Parámetros'!C16*(L125-'⚙ Parámetros'!B16))),'⚙ Parámetros'!G16/(1+2^(-'⚙ Parámetros'!F16*(L125-'⚙ Parámetros'!E16))),1)+20/100*MAX('⚙ Parámetros'!D16/(1+2^(-'⚙ Parámetros'!C16*(M125-'⚙ Parámetros'!B16))),'⚙ Parámetros'!G16/(1+2^(-'⚙ Parámetros'!F16*(M125-'⚙ Parámetros'!E16))),1)),0)</f>
        <v>1.4000000000000001</v>
      </c>
      <c r="AD125" s="80">
        <f>IFERROR((30/100*MAX('⚙ Parámetros'!D17/(1+2^(-'⚙ Parámetros'!C17*(N125-'⚙ Parámetros'!B17))),'⚙ Parámetros'!G17/(1+2^(-'⚙ Parámetros'!F17*(N125-'⚙ Parámetros'!E17))),1)*N125+25/100*MAX('⚙ Parámetros'!D17/(1+2^(-'⚙ Parámetros'!C17*(O125-'⚙ Parámetros'!B17))),'⚙ Parámetros'!G17/(1+2^(-'⚙ Parámetros'!F17*(O125-'⚙ Parámetros'!E17))),1)*O125+25/100*MAX('⚙ Parámetros'!D17/(1+2^(-'⚙ Parámetros'!C17*(P125-'⚙ Parámetros'!B17))),'⚙ Parámetros'!G17/(1+2^(-'⚙ Parámetros'!F17*(P125-'⚙ Parámetros'!E17))),1)*P125+20/100*MAX('⚙ Parámetros'!D17/(1+2^(-'⚙ Parámetros'!C17*(Q125-'⚙ Parámetros'!B17))),'⚙ Parámetros'!G17/(1+2^(-'⚙ Parámetros'!F17*(Q125-'⚙ Parámetros'!E17))),1)*Q125)/(30/100*MAX('⚙ Parámetros'!D17/(1+2^(-'⚙ Parámetros'!C17*(N125-'⚙ Parámetros'!B17))),'⚙ Parámetros'!G17/(1+2^(-'⚙ Parámetros'!F17*(N125-'⚙ Parámetros'!E17))),1)+25/100*MAX('⚙ Parámetros'!D17/(1+2^(-'⚙ Parámetros'!C17*(O125-'⚙ Parámetros'!B17))),'⚙ Parámetros'!G17/(1+2^(-'⚙ Parámetros'!F17*(O125-'⚙ Parámetros'!E17))),1)+25/100*MAX('⚙ Parámetros'!D17/(1+2^(-'⚙ Parámetros'!C17*(P125-'⚙ Parámetros'!B17))),'⚙ Parámetros'!G17/(1+2^(-'⚙ Parámetros'!F17*(P125-'⚙ Parámetros'!E17))),1)+20/100*MAX('⚙ Parámetros'!D17/(1+2^(-'⚙ Parámetros'!C17*(Q125-'⚙ Parámetros'!B17))),'⚙ Parámetros'!G17/(1+2^(-'⚙ Parámetros'!F17*(Q125-'⚙ Parámetros'!E17))),1)),0)</f>
        <v>1</v>
      </c>
      <c r="AE125" s="80">
        <f>IFERROR((30/100*MAX('⚙ Parámetros'!D18/(1+2^(-'⚙ Parámetros'!C18*(R125-'⚙ Parámetros'!B18))),'⚙ Parámetros'!G18/(1+2^(-'⚙ Parámetros'!F18*(R125-'⚙ Parámetros'!E18))),1)*R125+30/100*MAX('⚙ Parámetros'!D18/(1+2^(-'⚙ Parámetros'!C18*(S125-'⚙ Parámetros'!B18))),'⚙ Parámetros'!G18/(1+2^(-'⚙ Parámetros'!F18*(S125-'⚙ Parámetros'!E18))),1)*S125+20/100*MAX('⚙ Parámetros'!D18/(1+2^(-'⚙ Parámetros'!C18*(T125-'⚙ Parámetros'!B18))),'⚙ Parámetros'!G18/(1+2^(-'⚙ Parámetros'!F18*(T125-'⚙ Parámetros'!E18))),1)*T125+20/100*MAX('⚙ Parámetros'!D18/(1+2^(-'⚙ Parámetros'!C18*(U125-'⚙ Parámetros'!B18))),'⚙ Parámetros'!G18/(1+2^(-'⚙ Parámetros'!F18*(U125-'⚙ Parámetros'!E18))),1)*U125)/(30/100*MAX('⚙ Parámetros'!D18/(1+2^(-'⚙ Parámetros'!C18*(R125-'⚙ Parámetros'!B18))),'⚙ Parámetros'!G18/(1+2^(-'⚙ Parámetros'!F18*(R125-'⚙ Parámetros'!E18))),1)+30/100*MAX('⚙ Parámetros'!D18/(1+2^(-'⚙ Parámetros'!C18*(S125-'⚙ Parámetros'!B18))),'⚙ Parámetros'!G18/(1+2^(-'⚙ Parámetros'!F18*(S125-'⚙ Parámetros'!E18))),1)+20/100*MAX('⚙ Parámetros'!D18/(1+2^(-'⚙ Parámetros'!C18*(T125-'⚙ Parámetros'!B18))),'⚙ Parámetros'!G18/(1+2^(-'⚙ Parámetros'!F18*(T125-'⚙ Parámetros'!E18))),1)+20/100*MAX('⚙ Parámetros'!D18/(1+2^(-'⚙ Parámetros'!C18*(U125-'⚙ Parámetros'!B18))),'⚙ Parámetros'!G18/(1+2^(-'⚙ Parámetros'!F18*(U125-'⚙ Parámetros'!E18))),1)),0)</f>
        <v>5</v>
      </c>
      <c r="AF125" s="80">
        <f>IFERROR((30/100*MAX('⚙ Parámetros'!D19/(1+2^(-'⚙ Parámetros'!C19*(V125-'⚙ Parámetros'!B19))),'⚙ Parámetros'!G19/(1+2^(-'⚙ Parámetros'!F19*(V125-'⚙ Parámetros'!E19))),1)*V125+35/100*MAX('⚙ Parámetros'!D19/(1+2^(-'⚙ Parámetros'!C19*(W125-'⚙ Parámetros'!B19))),'⚙ Parámetros'!G19/(1+2^(-'⚙ Parámetros'!F19*(W125-'⚙ Parámetros'!E19))),1)*W125+35/100*MAX('⚙ Parámetros'!D19/(1+2^(-'⚙ Parámetros'!C19*(X125-'⚙ Parámetros'!B19))),'⚙ Parámetros'!G19/(1+2^(-'⚙ Parámetros'!F19*(X125-'⚙ Parámetros'!E19))),1)*X125)/(30/100*MAX('⚙ Parámetros'!D19/(1+2^(-'⚙ Parámetros'!C19*(V125-'⚙ Parámetros'!B19))),'⚙ Parámetros'!G19/(1+2^(-'⚙ Parámetros'!F19*(V125-'⚙ Parámetros'!E19))),1)+35/100*MAX('⚙ Parámetros'!D19/(1+2^(-'⚙ Parámetros'!C19*(W125-'⚙ Parámetros'!B19))),'⚙ Parámetros'!G19/(1+2^(-'⚙ Parámetros'!F19*(W125-'⚙ Parámetros'!E19))),1)+35/100*MAX('⚙ Parámetros'!D19/(1+2^(-'⚙ Parámetros'!C19*(X125-'⚙ Parámetros'!B19))),'⚙ Parámetros'!G19/(1+2^(-'⚙ Parámetros'!F19*(X125-'⚙ Parámetros'!E19))),1)),0)</f>
        <v>8.0351483057098907</v>
      </c>
      <c r="AG125" s="80">
        <f>IFERROR((35/100*MAX('⚙ Parámetros'!D20/(1+2^(-'⚙ Parámetros'!C20*(Y125-'⚙ Parámetros'!B20))),'⚙ Parámetros'!G20/(1+2^(-'⚙ Parámetros'!F20*(Y125-'⚙ Parámetros'!E20))),1)*Y125+35/100*MAX('⚙ Parámetros'!D20/(1+2^(-'⚙ Parámetros'!C20*(Z125-'⚙ Parámetros'!B20))),'⚙ Parámetros'!G20/(1+2^(-'⚙ Parámetros'!F20*(Z125-'⚙ Parámetros'!E20))),1)*Z125+30/100*MAX('⚙ Parámetros'!D20/(1+2^(-'⚙ Parámetros'!C20*(AA125-'⚙ Parámetros'!B20))),'⚙ Parámetros'!G20/(1+2^(-'⚙ Parámetros'!F20*(AA125-'⚙ Parámetros'!E20))),1)*AA125)/(35/100*MAX('⚙ Parámetros'!D20/(1+2^(-'⚙ Parámetros'!C20*(Y125-'⚙ Parámetros'!B20))),'⚙ Parámetros'!G20/(1+2^(-'⚙ Parámetros'!F20*(Y125-'⚙ Parámetros'!E20))),1)+35/100*MAX('⚙ Parámetros'!D20/(1+2^(-'⚙ Parámetros'!C20*(Z125-'⚙ Parámetros'!B20))),'⚙ Parámetros'!G20/(1+2^(-'⚙ Parámetros'!F20*(Z125-'⚙ Parámetros'!E20))),1)+30/100*MAX('⚙ Parámetros'!D20/(1+2^(-'⚙ Parámetros'!C20*(AA125-'⚙ Parámetros'!B20))),'⚙ Parámetros'!G20/(1+2^(-'⚙ Parámetros'!F20*(AA125-'⚙ Parámetros'!E20))),1)),0)</f>
        <v>3.7272727272727275</v>
      </c>
      <c r="AH125" s="81">
        <f>('⚙ Parámetros'!B5/100*AB125+'⚙ Parámetros'!B6/100*AC125+'⚙ Parámetros'!B7/100*AD125+'⚙ Parámetros'!B8/100*AE125+'⚙ Parámetros'!B9/100*AF125+'⚙ Parámetros'!B10/100*AG125)</f>
        <v>2.4816966487528074</v>
      </c>
      <c r="AI125" s="33">
        <f ca="1">MIN(1+MAX(0,TODAY()-DATE(2026,2,12))/365*'⚙ Parámetros'!B33,'⚙ Parámetros'!B34)</f>
        <v>1.0493150684931507</v>
      </c>
      <c r="AJ125" s="82">
        <f t="shared" ca="1" si="6"/>
        <v>2.6040816889652745</v>
      </c>
      <c r="AK125" s="83" t="str">
        <f ca="1">IF(AB125&gt;='⚙ Parámetros'!B23,"⚑ AUTO-PRIOR.(D1≥8)",IF(AJ125&gt;='⚙ Parámetros'!B23,"PRIORITARIO",IF(AJ125&gt;='⚙ Parámetros'!B24,"ALTA PRIORIDAD",IF(AJ125&gt;='⚙ Parámetros'!B25,"PRIORIDAD MEDIA",IF(AJ125&gt;='⚙ Parámetros'!B26,"BAJA PRIORIDAD","DESCARTAR")))))</f>
        <v>DESCARTAR</v>
      </c>
      <c r="AL125" s="84" t="str">
        <f t="shared" si="7"/>
        <v>—</v>
      </c>
      <c r="AM125" s="85">
        <v>19</v>
      </c>
      <c r="AN125" s="83" t="str">
        <f>IF(AM125="","—",IF(AM125&lt;'⚙ Parámetros'!B29,"🟢 Corto",IF(AM125&lt;'⚙ Parámetros'!B30,"🟡 Medio","🔴 Largo")))</f>
        <v>🟢 Corto</v>
      </c>
    </row>
    <row r="126" spans="1:40" ht="18.75" customHeight="1" x14ac:dyDescent="0.25">
      <c r="A126" s="69">
        <v>122</v>
      </c>
      <c r="B126" s="30" t="s">
        <v>361</v>
      </c>
      <c r="C126" s="26" t="s">
        <v>147</v>
      </c>
      <c r="D126" s="71" t="s">
        <v>136</v>
      </c>
      <c r="E126" s="72" t="s">
        <v>362</v>
      </c>
      <c r="F126" s="74">
        <v>1</v>
      </c>
      <c r="G126" s="74">
        <v>1</v>
      </c>
      <c r="H126" s="74">
        <v>1</v>
      </c>
      <c r="I126" s="74">
        <v>1</v>
      </c>
      <c r="J126" s="74">
        <v>1</v>
      </c>
      <c r="K126" s="74">
        <v>1</v>
      </c>
      <c r="L126" s="74">
        <v>1</v>
      </c>
      <c r="M126" s="86">
        <v>3</v>
      </c>
      <c r="N126" s="74">
        <v>1</v>
      </c>
      <c r="O126" s="74">
        <v>1</v>
      </c>
      <c r="P126" s="74">
        <v>1</v>
      </c>
      <c r="Q126" s="74">
        <v>1</v>
      </c>
      <c r="R126" s="86">
        <v>5</v>
      </c>
      <c r="S126" s="86">
        <v>5</v>
      </c>
      <c r="T126" s="86">
        <v>5</v>
      </c>
      <c r="U126" s="86">
        <v>5</v>
      </c>
      <c r="V126" s="77">
        <v>8</v>
      </c>
      <c r="W126" s="86">
        <v>6</v>
      </c>
      <c r="X126" s="77">
        <v>9</v>
      </c>
      <c r="Y126" s="86">
        <v>4</v>
      </c>
      <c r="Z126" s="74">
        <v>2</v>
      </c>
      <c r="AA126" s="86">
        <v>5</v>
      </c>
      <c r="AB126" s="89">
        <f>IFERROR((30/100*MAX('⚙ Parámetros'!D15/(1+2^(-'⚙ Parámetros'!C15*(F126-'⚙ Parámetros'!B15))),'⚙ Parámetros'!G15/(1+2^(-'⚙ Parámetros'!F15*(F126-'⚙ Parámetros'!E15))),1)*F126+30/100*MAX('⚙ Parámetros'!D15/(1+2^(-'⚙ Parámetros'!C15*(G126-'⚙ Parámetros'!B15))),'⚙ Parámetros'!G15/(1+2^(-'⚙ Parámetros'!F15*(G126-'⚙ Parámetros'!E15))),1)*G126+20/100*MAX('⚙ Parámetros'!D15/(1+2^(-'⚙ Parámetros'!C15*(H126-'⚙ Parámetros'!B15))),'⚙ Parámetros'!G15/(1+2^(-'⚙ Parámetros'!F15*(H126-'⚙ Parámetros'!E15))),1)*H126+20/100*MAX('⚙ Parámetros'!D15/(1+2^(-'⚙ Parámetros'!C15*(I126-'⚙ Parámetros'!B15))),'⚙ Parámetros'!G15/(1+2^(-'⚙ Parámetros'!F15*(I126-'⚙ Parámetros'!E15))),1)*I126)/(30/100*MAX('⚙ Parámetros'!D15/(1+2^(-'⚙ Parámetros'!C15*(F126-'⚙ Parámetros'!B15))),'⚙ Parámetros'!G15/(1+2^(-'⚙ Parámetros'!F15*(F126-'⚙ Parámetros'!E15))),1)+30/100*MAX('⚙ Parámetros'!D15/(1+2^(-'⚙ Parámetros'!C15*(G126-'⚙ Parámetros'!B15))),'⚙ Parámetros'!G15/(1+2^(-'⚙ Parámetros'!F15*(G126-'⚙ Parámetros'!E15))),1)+20/100*MAX('⚙ Parámetros'!D15/(1+2^(-'⚙ Parámetros'!C15*(H126-'⚙ Parámetros'!B15))),'⚙ Parámetros'!G15/(1+2^(-'⚙ Parámetros'!F15*(H126-'⚙ Parámetros'!E15))),1)+20/100*MAX('⚙ Parámetros'!D15/(1+2^(-'⚙ Parámetros'!C15*(I126-'⚙ Parámetros'!B15))),'⚙ Parámetros'!G15/(1+2^(-'⚙ Parámetros'!F15*(I126-'⚙ Parámetros'!E15))),1)),0)</f>
        <v>1</v>
      </c>
      <c r="AC126" s="89">
        <f>IFERROR((35/100*MAX('⚙ Parámetros'!D16/(1+2^(-'⚙ Parámetros'!C16*(J126-'⚙ Parámetros'!B16))),'⚙ Parámetros'!G16/(1+2^(-'⚙ Parámetros'!F16*(J126-'⚙ Parámetros'!E16))),1)*J126+25/100*MAX('⚙ Parámetros'!D16/(1+2^(-'⚙ Parámetros'!C16*(K126-'⚙ Parámetros'!B16))),'⚙ Parámetros'!G16/(1+2^(-'⚙ Parámetros'!F16*(K126-'⚙ Parámetros'!E16))),1)*K126+20/100*MAX('⚙ Parámetros'!D16/(1+2^(-'⚙ Parámetros'!C16*(L126-'⚙ Parámetros'!B16))),'⚙ Parámetros'!G16/(1+2^(-'⚙ Parámetros'!F16*(L126-'⚙ Parámetros'!E16))),1)*L126+20/100*MAX('⚙ Parámetros'!D16/(1+2^(-'⚙ Parámetros'!C16*(M126-'⚙ Parámetros'!B16))),'⚙ Parámetros'!G16/(1+2^(-'⚙ Parámetros'!F16*(M126-'⚙ Parámetros'!E16))),1)*M126)/(35/100*MAX('⚙ Parámetros'!D16/(1+2^(-'⚙ Parámetros'!C16*(J126-'⚙ Parámetros'!B16))),'⚙ Parámetros'!G16/(1+2^(-'⚙ Parámetros'!F16*(J126-'⚙ Parámetros'!E16))),1)+25/100*MAX('⚙ Parámetros'!D16/(1+2^(-'⚙ Parámetros'!C16*(K126-'⚙ Parámetros'!B16))),'⚙ Parámetros'!G16/(1+2^(-'⚙ Parámetros'!F16*(K126-'⚙ Parámetros'!E16))),1)+20/100*MAX('⚙ Parámetros'!D16/(1+2^(-'⚙ Parámetros'!C16*(L126-'⚙ Parámetros'!B16))),'⚙ Parámetros'!G16/(1+2^(-'⚙ Parámetros'!F16*(L126-'⚙ Parámetros'!E16))),1)+20/100*MAX('⚙ Parámetros'!D16/(1+2^(-'⚙ Parámetros'!C16*(M126-'⚙ Parámetros'!B16))),'⚙ Parámetros'!G16/(1+2^(-'⚙ Parámetros'!F16*(M126-'⚙ Parámetros'!E16))),1)),0)</f>
        <v>1.4000000000000001</v>
      </c>
      <c r="AD126" s="89">
        <f>IFERROR((30/100*MAX('⚙ Parámetros'!D17/(1+2^(-'⚙ Parámetros'!C17*(N126-'⚙ Parámetros'!B17))),'⚙ Parámetros'!G17/(1+2^(-'⚙ Parámetros'!F17*(N126-'⚙ Parámetros'!E17))),1)*N126+25/100*MAX('⚙ Parámetros'!D17/(1+2^(-'⚙ Parámetros'!C17*(O126-'⚙ Parámetros'!B17))),'⚙ Parámetros'!G17/(1+2^(-'⚙ Parámetros'!F17*(O126-'⚙ Parámetros'!E17))),1)*O126+25/100*MAX('⚙ Parámetros'!D17/(1+2^(-'⚙ Parámetros'!C17*(P126-'⚙ Parámetros'!B17))),'⚙ Parámetros'!G17/(1+2^(-'⚙ Parámetros'!F17*(P126-'⚙ Parámetros'!E17))),1)*P126+20/100*MAX('⚙ Parámetros'!D17/(1+2^(-'⚙ Parámetros'!C17*(Q126-'⚙ Parámetros'!B17))),'⚙ Parámetros'!G17/(1+2^(-'⚙ Parámetros'!F17*(Q126-'⚙ Parámetros'!E17))),1)*Q126)/(30/100*MAX('⚙ Parámetros'!D17/(1+2^(-'⚙ Parámetros'!C17*(N126-'⚙ Parámetros'!B17))),'⚙ Parámetros'!G17/(1+2^(-'⚙ Parámetros'!F17*(N126-'⚙ Parámetros'!E17))),1)+25/100*MAX('⚙ Parámetros'!D17/(1+2^(-'⚙ Parámetros'!C17*(O126-'⚙ Parámetros'!B17))),'⚙ Parámetros'!G17/(1+2^(-'⚙ Parámetros'!F17*(O126-'⚙ Parámetros'!E17))),1)+25/100*MAX('⚙ Parámetros'!D17/(1+2^(-'⚙ Parámetros'!C17*(P126-'⚙ Parámetros'!B17))),'⚙ Parámetros'!G17/(1+2^(-'⚙ Parámetros'!F17*(P126-'⚙ Parámetros'!E17))),1)+20/100*MAX('⚙ Parámetros'!D17/(1+2^(-'⚙ Parámetros'!C17*(Q126-'⚙ Parámetros'!B17))),'⚙ Parámetros'!G17/(1+2^(-'⚙ Parámetros'!F17*(Q126-'⚙ Parámetros'!E17))),1)),0)</f>
        <v>1</v>
      </c>
      <c r="AE126" s="89">
        <f>IFERROR((30/100*MAX('⚙ Parámetros'!D18/(1+2^(-'⚙ Parámetros'!C18*(R126-'⚙ Parámetros'!B18))),'⚙ Parámetros'!G18/(1+2^(-'⚙ Parámetros'!F18*(R126-'⚙ Parámetros'!E18))),1)*R126+30/100*MAX('⚙ Parámetros'!D18/(1+2^(-'⚙ Parámetros'!C18*(S126-'⚙ Parámetros'!B18))),'⚙ Parámetros'!G18/(1+2^(-'⚙ Parámetros'!F18*(S126-'⚙ Parámetros'!E18))),1)*S126+20/100*MAX('⚙ Parámetros'!D18/(1+2^(-'⚙ Parámetros'!C18*(T126-'⚙ Parámetros'!B18))),'⚙ Parámetros'!G18/(1+2^(-'⚙ Parámetros'!F18*(T126-'⚙ Parámetros'!E18))),1)*T126+20/100*MAX('⚙ Parámetros'!D18/(1+2^(-'⚙ Parámetros'!C18*(U126-'⚙ Parámetros'!B18))),'⚙ Parámetros'!G18/(1+2^(-'⚙ Parámetros'!F18*(U126-'⚙ Parámetros'!E18))),1)*U126)/(30/100*MAX('⚙ Parámetros'!D18/(1+2^(-'⚙ Parámetros'!C18*(R126-'⚙ Parámetros'!B18))),'⚙ Parámetros'!G18/(1+2^(-'⚙ Parámetros'!F18*(R126-'⚙ Parámetros'!E18))),1)+30/100*MAX('⚙ Parámetros'!D18/(1+2^(-'⚙ Parámetros'!C18*(S126-'⚙ Parámetros'!B18))),'⚙ Parámetros'!G18/(1+2^(-'⚙ Parámetros'!F18*(S126-'⚙ Parámetros'!E18))),1)+20/100*MAX('⚙ Parámetros'!D18/(1+2^(-'⚙ Parámetros'!C18*(T126-'⚙ Parámetros'!B18))),'⚙ Parámetros'!G18/(1+2^(-'⚙ Parámetros'!F18*(T126-'⚙ Parámetros'!E18))),1)+20/100*MAX('⚙ Parámetros'!D18/(1+2^(-'⚙ Parámetros'!C18*(U126-'⚙ Parámetros'!B18))),'⚙ Parámetros'!G18/(1+2^(-'⚙ Parámetros'!F18*(U126-'⚙ Parámetros'!E18))),1)),0)</f>
        <v>5</v>
      </c>
      <c r="AF126" s="89">
        <f>IFERROR((30/100*MAX('⚙ Parámetros'!D19/(1+2^(-'⚙ Parámetros'!C19*(V126-'⚙ Parámetros'!B19))),'⚙ Parámetros'!G19/(1+2^(-'⚙ Parámetros'!F19*(V126-'⚙ Parámetros'!E19))),1)*V126+35/100*MAX('⚙ Parámetros'!D19/(1+2^(-'⚙ Parámetros'!C19*(W126-'⚙ Parámetros'!B19))),'⚙ Parámetros'!G19/(1+2^(-'⚙ Parámetros'!F19*(W126-'⚙ Parámetros'!E19))),1)*W126+35/100*MAX('⚙ Parámetros'!D19/(1+2^(-'⚙ Parámetros'!C19*(X126-'⚙ Parámetros'!B19))),'⚙ Parámetros'!G19/(1+2^(-'⚙ Parámetros'!F19*(X126-'⚙ Parámetros'!E19))),1)*X126)/(30/100*MAX('⚙ Parámetros'!D19/(1+2^(-'⚙ Parámetros'!C19*(V126-'⚙ Parámetros'!B19))),'⚙ Parámetros'!G19/(1+2^(-'⚙ Parámetros'!F19*(V126-'⚙ Parámetros'!E19))),1)+35/100*MAX('⚙ Parámetros'!D19/(1+2^(-'⚙ Parámetros'!C19*(W126-'⚙ Parámetros'!B19))),'⚙ Parámetros'!G19/(1+2^(-'⚙ Parámetros'!F19*(W126-'⚙ Parámetros'!E19))),1)+35/100*MAX('⚙ Parámetros'!D19/(1+2^(-'⚙ Parámetros'!C19*(X126-'⚙ Parámetros'!B19))),'⚙ Parámetros'!G19/(1+2^(-'⚙ Parámetros'!F19*(X126-'⚙ Parámetros'!E19))),1)),0)</f>
        <v>8.0351483057098907</v>
      </c>
      <c r="AG126" s="89">
        <f>IFERROR((35/100*MAX('⚙ Parámetros'!D20/(1+2^(-'⚙ Parámetros'!C20*(Y126-'⚙ Parámetros'!B20))),'⚙ Parámetros'!G20/(1+2^(-'⚙ Parámetros'!F20*(Y126-'⚙ Parámetros'!E20))),1)*Y126+35/100*MAX('⚙ Parámetros'!D20/(1+2^(-'⚙ Parámetros'!C20*(Z126-'⚙ Parámetros'!B20))),'⚙ Parámetros'!G20/(1+2^(-'⚙ Parámetros'!F20*(Z126-'⚙ Parámetros'!E20))),1)*Z126+30/100*MAX('⚙ Parámetros'!D20/(1+2^(-'⚙ Parámetros'!C20*(AA126-'⚙ Parámetros'!B20))),'⚙ Parámetros'!G20/(1+2^(-'⚙ Parámetros'!F20*(AA126-'⚙ Parámetros'!E20))),1)*AA126)/(35/100*MAX('⚙ Parámetros'!D20/(1+2^(-'⚙ Parámetros'!C20*(Y126-'⚙ Parámetros'!B20))),'⚙ Parámetros'!G20/(1+2^(-'⚙ Parámetros'!F20*(Y126-'⚙ Parámetros'!E20))),1)+35/100*MAX('⚙ Parámetros'!D20/(1+2^(-'⚙ Parámetros'!C20*(Z126-'⚙ Parámetros'!B20))),'⚙ Parámetros'!G20/(1+2^(-'⚙ Parámetros'!F20*(Z126-'⚙ Parámetros'!E20))),1)+30/100*MAX('⚙ Parámetros'!D20/(1+2^(-'⚙ Parámetros'!C20*(AA126-'⚙ Parámetros'!B20))),'⚙ Parámetros'!G20/(1+2^(-'⚙ Parámetros'!F20*(AA126-'⚙ Parámetros'!E20))),1)),0)</f>
        <v>3.7272727272727275</v>
      </c>
      <c r="AH126" s="90">
        <f>('⚙ Parámetros'!B5/100*AB126+'⚙ Parámetros'!B6/100*AC126+'⚙ Parámetros'!B7/100*AD126+'⚙ Parámetros'!B8/100*AE126+'⚙ Parámetros'!B9/100*AF126+'⚙ Parámetros'!B10/100*AG126)</f>
        <v>2.4816966487528074</v>
      </c>
      <c r="AI126" s="91">
        <f ca="1">MIN(1+MAX(0,TODAY()-DATE(2026,1,8))/365*'⚙ Parámetros'!B33,'⚙ Parámetros'!B34)</f>
        <v>1.0636986301369862</v>
      </c>
      <c r="AJ126" s="82">
        <f t="shared" ca="1" si="6"/>
        <v>2.6397773256939105</v>
      </c>
      <c r="AK126" s="92" t="str">
        <f ca="1">IF(AB126&gt;='⚙ Parámetros'!B23,"⚑ AUTO-PRIOR.(D1≥8)",IF(AJ126&gt;='⚙ Parámetros'!B23,"PRIORITARIO",IF(AJ126&gt;='⚙ Parámetros'!B24,"ALTA PRIORIDAD",IF(AJ126&gt;='⚙ Parámetros'!B25,"PRIORIDAD MEDIA",IF(AJ126&gt;='⚙ Parámetros'!B26,"BAJA PRIORIDAD","DESCARTAR")))))</f>
        <v>DESCARTAR</v>
      </c>
      <c r="AL126" s="69" t="str">
        <f t="shared" si="7"/>
        <v>—</v>
      </c>
      <c r="AM126" s="85">
        <v>27</v>
      </c>
      <c r="AN126" s="83" t="str">
        <f>IF(AM126="","—",IF(AM126&lt;'⚙ Parámetros'!B29,"🟢 Corto",IF(AM126&lt;'⚙ Parámetros'!B30,"🟡 Medio","🔴 Largo")))</f>
        <v>🟢 Corto</v>
      </c>
    </row>
    <row r="127" spans="1:40" ht="18.75" customHeight="1" x14ac:dyDescent="0.25">
      <c r="A127" s="69">
        <v>123</v>
      </c>
      <c r="B127" s="70" t="s">
        <v>363</v>
      </c>
      <c r="C127" s="4" t="s">
        <v>344</v>
      </c>
      <c r="D127" s="71" t="s">
        <v>243</v>
      </c>
      <c r="E127" s="72" t="s">
        <v>364</v>
      </c>
      <c r="F127" s="74">
        <v>1</v>
      </c>
      <c r="G127" s="74">
        <v>1</v>
      </c>
      <c r="H127" s="74">
        <v>1</v>
      </c>
      <c r="I127" s="74">
        <v>1</v>
      </c>
      <c r="J127" s="74">
        <v>1</v>
      </c>
      <c r="K127" s="74">
        <v>1</v>
      </c>
      <c r="L127" s="74">
        <v>1</v>
      </c>
      <c r="M127" s="73">
        <v>3</v>
      </c>
      <c r="N127" s="74">
        <v>1</v>
      </c>
      <c r="O127" s="74">
        <v>1</v>
      </c>
      <c r="P127" s="74">
        <v>1</v>
      </c>
      <c r="Q127" s="74">
        <v>1</v>
      </c>
      <c r="R127" s="73">
        <v>5</v>
      </c>
      <c r="S127" s="73">
        <v>5</v>
      </c>
      <c r="T127" s="73">
        <v>5</v>
      </c>
      <c r="U127" s="73">
        <v>5</v>
      </c>
      <c r="V127" s="77">
        <v>8</v>
      </c>
      <c r="W127" s="73">
        <v>6</v>
      </c>
      <c r="X127" s="77">
        <v>9</v>
      </c>
      <c r="Y127" s="73">
        <v>4</v>
      </c>
      <c r="Z127" s="74">
        <v>2</v>
      </c>
      <c r="AA127" s="73">
        <v>5</v>
      </c>
      <c r="AB127" s="80">
        <f>IFERROR((30/100*MAX('⚙ Parámetros'!D15/(1+2^(-'⚙ Parámetros'!C15*(F127-'⚙ Parámetros'!B15))),'⚙ Parámetros'!G15/(1+2^(-'⚙ Parámetros'!F15*(F127-'⚙ Parámetros'!E15))),1)*F127+30/100*MAX('⚙ Parámetros'!D15/(1+2^(-'⚙ Parámetros'!C15*(G127-'⚙ Parámetros'!B15))),'⚙ Parámetros'!G15/(1+2^(-'⚙ Parámetros'!F15*(G127-'⚙ Parámetros'!E15))),1)*G127+20/100*MAX('⚙ Parámetros'!D15/(1+2^(-'⚙ Parámetros'!C15*(H127-'⚙ Parámetros'!B15))),'⚙ Parámetros'!G15/(1+2^(-'⚙ Parámetros'!F15*(H127-'⚙ Parámetros'!E15))),1)*H127+20/100*MAX('⚙ Parámetros'!D15/(1+2^(-'⚙ Parámetros'!C15*(I127-'⚙ Parámetros'!B15))),'⚙ Parámetros'!G15/(1+2^(-'⚙ Parámetros'!F15*(I127-'⚙ Parámetros'!E15))),1)*I127)/(30/100*MAX('⚙ Parámetros'!D15/(1+2^(-'⚙ Parámetros'!C15*(F127-'⚙ Parámetros'!B15))),'⚙ Parámetros'!G15/(1+2^(-'⚙ Parámetros'!F15*(F127-'⚙ Parámetros'!E15))),1)+30/100*MAX('⚙ Parámetros'!D15/(1+2^(-'⚙ Parámetros'!C15*(G127-'⚙ Parámetros'!B15))),'⚙ Parámetros'!G15/(1+2^(-'⚙ Parámetros'!F15*(G127-'⚙ Parámetros'!E15))),1)+20/100*MAX('⚙ Parámetros'!D15/(1+2^(-'⚙ Parámetros'!C15*(H127-'⚙ Parámetros'!B15))),'⚙ Parámetros'!G15/(1+2^(-'⚙ Parámetros'!F15*(H127-'⚙ Parámetros'!E15))),1)+20/100*MAX('⚙ Parámetros'!D15/(1+2^(-'⚙ Parámetros'!C15*(I127-'⚙ Parámetros'!B15))),'⚙ Parámetros'!G15/(1+2^(-'⚙ Parámetros'!F15*(I127-'⚙ Parámetros'!E15))),1)),0)</f>
        <v>1</v>
      </c>
      <c r="AC127" s="80">
        <f>IFERROR((35/100*MAX('⚙ Parámetros'!D16/(1+2^(-'⚙ Parámetros'!C16*(J127-'⚙ Parámetros'!B16))),'⚙ Parámetros'!G16/(1+2^(-'⚙ Parámetros'!F16*(J127-'⚙ Parámetros'!E16))),1)*J127+25/100*MAX('⚙ Parámetros'!D16/(1+2^(-'⚙ Parámetros'!C16*(K127-'⚙ Parámetros'!B16))),'⚙ Parámetros'!G16/(1+2^(-'⚙ Parámetros'!F16*(K127-'⚙ Parámetros'!E16))),1)*K127+20/100*MAX('⚙ Parámetros'!D16/(1+2^(-'⚙ Parámetros'!C16*(L127-'⚙ Parámetros'!B16))),'⚙ Parámetros'!G16/(1+2^(-'⚙ Parámetros'!F16*(L127-'⚙ Parámetros'!E16))),1)*L127+20/100*MAX('⚙ Parámetros'!D16/(1+2^(-'⚙ Parámetros'!C16*(M127-'⚙ Parámetros'!B16))),'⚙ Parámetros'!G16/(1+2^(-'⚙ Parámetros'!F16*(M127-'⚙ Parámetros'!E16))),1)*M127)/(35/100*MAX('⚙ Parámetros'!D16/(1+2^(-'⚙ Parámetros'!C16*(J127-'⚙ Parámetros'!B16))),'⚙ Parámetros'!G16/(1+2^(-'⚙ Parámetros'!F16*(J127-'⚙ Parámetros'!E16))),1)+25/100*MAX('⚙ Parámetros'!D16/(1+2^(-'⚙ Parámetros'!C16*(K127-'⚙ Parámetros'!B16))),'⚙ Parámetros'!G16/(1+2^(-'⚙ Parámetros'!F16*(K127-'⚙ Parámetros'!E16))),1)+20/100*MAX('⚙ Parámetros'!D16/(1+2^(-'⚙ Parámetros'!C16*(L127-'⚙ Parámetros'!B16))),'⚙ Parámetros'!G16/(1+2^(-'⚙ Parámetros'!F16*(L127-'⚙ Parámetros'!E16))),1)+20/100*MAX('⚙ Parámetros'!D16/(1+2^(-'⚙ Parámetros'!C16*(M127-'⚙ Parámetros'!B16))),'⚙ Parámetros'!G16/(1+2^(-'⚙ Parámetros'!F16*(M127-'⚙ Parámetros'!E16))),1)),0)</f>
        <v>1.4000000000000001</v>
      </c>
      <c r="AD127" s="80">
        <f>IFERROR((30/100*MAX('⚙ Parámetros'!D17/(1+2^(-'⚙ Parámetros'!C17*(N127-'⚙ Parámetros'!B17))),'⚙ Parámetros'!G17/(1+2^(-'⚙ Parámetros'!F17*(N127-'⚙ Parámetros'!E17))),1)*N127+25/100*MAX('⚙ Parámetros'!D17/(1+2^(-'⚙ Parámetros'!C17*(O127-'⚙ Parámetros'!B17))),'⚙ Parámetros'!G17/(1+2^(-'⚙ Parámetros'!F17*(O127-'⚙ Parámetros'!E17))),1)*O127+25/100*MAX('⚙ Parámetros'!D17/(1+2^(-'⚙ Parámetros'!C17*(P127-'⚙ Parámetros'!B17))),'⚙ Parámetros'!G17/(1+2^(-'⚙ Parámetros'!F17*(P127-'⚙ Parámetros'!E17))),1)*P127+20/100*MAX('⚙ Parámetros'!D17/(1+2^(-'⚙ Parámetros'!C17*(Q127-'⚙ Parámetros'!B17))),'⚙ Parámetros'!G17/(1+2^(-'⚙ Parámetros'!F17*(Q127-'⚙ Parámetros'!E17))),1)*Q127)/(30/100*MAX('⚙ Parámetros'!D17/(1+2^(-'⚙ Parámetros'!C17*(N127-'⚙ Parámetros'!B17))),'⚙ Parámetros'!G17/(1+2^(-'⚙ Parámetros'!F17*(N127-'⚙ Parámetros'!E17))),1)+25/100*MAX('⚙ Parámetros'!D17/(1+2^(-'⚙ Parámetros'!C17*(O127-'⚙ Parámetros'!B17))),'⚙ Parámetros'!G17/(1+2^(-'⚙ Parámetros'!F17*(O127-'⚙ Parámetros'!E17))),1)+25/100*MAX('⚙ Parámetros'!D17/(1+2^(-'⚙ Parámetros'!C17*(P127-'⚙ Parámetros'!B17))),'⚙ Parámetros'!G17/(1+2^(-'⚙ Parámetros'!F17*(P127-'⚙ Parámetros'!E17))),1)+20/100*MAX('⚙ Parámetros'!D17/(1+2^(-'⚙ Parámetros'!C17*(Q127-'⚙ Parámetros'!B17))),'⚙ Parámetros'!G17/(1+2^(-'⚙ Parámetros'!F17*(Q127-'⚙ Parámetros'!E17))),1)),0)</f>
        <v>1</v>
      </c>
      <c r="AE127" s="80">
        <f>IFERROR((30/100*MAX('⚙ Parámetros'!D18/(1+2^(-'⚙ Parámetros'!C18*(R127-'⚙ Parámetros'!B18))),'⚙ Parámetros'!G18/(1+2^(-'⚙ Parámetros'!F18*(R127-'⚙ Parámetros'!E18))),1)*R127+30/100*MAX('⚙ Parámetros'!D18/(1+2^(-'⚙ Parámetros'!C18*(S127-'⚙ Parámetros'!B18))),'⚙ Parámetros'!G18/(1+2^(-'⚙ Parámetros'!F18*(S127-'⚙ Parámetros'!E18))),1)*S127+20/100*MAX('⚙ Parámetros'!D18/(1+2^(-'⚙ Parámetros'!C18*(T127-'⚙ Parámetros'!B18))),'⚙ Parámetros'!G18/(1+2^(-'⚙ Parámetros'!F18*(T127-'⚙ Parámetros'!E18))),1)*T127+20/100*MAX('⚙ Parámetros'!D18/(1+2^(-'⚙ Parámetros'!C18*(U127-'⚙ Parámetros'!B18))),'⚙ Parámetros'!G18/(1+2^(-'⚙ Parámetros'!F18*(U127-'⚙ Parámetros'!E18))),1)*U127)/(30/100*MAX('⚙ Parámetros'!D18/(1+2^(-'⚙ Parámetros'!C18*(R127-'⚙ Parámetros'!B18))),'⚙ Parámetros'!G18/(1+2^(-'⚙ Parámetros'!F18*(R127-'⚙ Parámetros'!E18))),1)+30/100*MAX('⚙ Parámetros'!D18/(1+2^(-'⚙ Parámetros'!C18*(S127-'⚙ Parámetros'!B18))),'⚙ Parámetros'!G18/(1+2^(-'⚙ Parámetros'!F18*(S127-'⚙ Parámetros'!E18))),1)+20/100*MAX('⚙ Parámetros'!D18/(1+2^(-'⚙ Parámetros'!C18*(T127-'⚙ Parámetros'!B18))),'⚙ Parámetros'!G18/(1+2^(-'⚙ Parámetros'!F18*(T127-'⚙ Parámetros'!E18))),1)+20/100*MAX('⚙ Parámetros'!D18/(1+2^(-'⚙ Parámetros'!C18*(U127-'⚙ Parámetros'!B18))),'⚙ Parámetros'!G18/(1+2^(-'⚙ Parámetros'!F18*(U127-'⚙ Parámetros'!E18))),1)),0)</f>
        <v>5</v>
      </c>
      <c r="AF127" s="80">
        <f>IFERROR((30/100*MAX('⚙ Parámetros'!D19/(1+2^(-'⚙ Parámetros'!C19*(V127-'⚙ Parámetros'!B19))),'⚙ Parámetros'!G19/(1+2^(-'⚙ Parámetros'!F19*(V127-'⚙ Parámetros'!E19))),1)*V127+35/100*MAX('⚙ Parámetros'!D19/(1+2^(-'⚙ Parámetros'!C19*(W127-'⚙ Parámetros'!B19))),'⚙ Parámetros'!G19/(1+2^(-'⚙ Parámetros'!F19*(W127-'⚙ Parámetros'!E19))),1)*W127+35/100*MAX('⚙ Parámetros'!D19/(1+2^(-'⚙ Parámetros'!C19*(X127-'⚙ Parámetros'!B19))),'⚙ Parámetros'!G19/(1+2^(-'⚙ Parámetros'!F19*(X127-'⚙ Parámetros'!E19))),1)*X127)/(30/100*MAX('⚙ Parámetros'!D19/(1+2^(-'⚙ Parámetros'!C19*(V127-'⚙ Parámetros'!B19))),'⚙ Parámetros'!G19/(1+2^(-'⚙ Parámetros'!F19*(V127-'⚙ Parámetros'!E19))),1)+35/100*MAX('⚙ Parámetros'!D19/(1+2^(-'⚙ Parámetros'!C19*(W127-'⚙ Parámetros'!B19))),'⚙ Parámetros'!G19/(1+2^(-'⚙ Parámetros'!F19*(W127-'⚙ Parámetros'!E19))),1)+35/100*MAX('⚙ Parámetros'!D19/(1+2^(-'⚙ Parámetros'!C19*(X127-'⚙ Parámetros'!B19))),'⚙ Parámetros'!G19/(1+2^(-'⚙ Parámetros'!F19*(X127-'⚙ Parámetros'!E19))),1)),0)</f>
        <v>8.0351483057098907</v>
      </c>
      <c r="AG127" s="80">
        <f>IFERROR((35/100*MAX('⚙ Parámetros'!D20/(1+2^(-'⚙ Parámetros'!C20*(Y127-'⚙ Parámetros'!B20))),'⚙ Parámetros'!G20/(1+2^(-'⚙ Parámetros'!F20*(Y127-'⚙ Parámetros'!E20))),1)*Y127+35/100*MAX('⚙ Parámetros'!D20/(1+2^(-'⚙ Parámetros'!C20*(Z127-'⚙ Parámetros'!B20))),'⚙ Parámetros'!G20/(1+2^(-'⚙ Parámetros'!F20*(Z127-'⚙ Parámetros'!E20))),1)*Z127+30/100*MAX('⚙ Parámetros'!D20/(1+2^(-'⚙ Parámetros'!C20*(AA127-'⚙ Parámetros'!B20))),'⚙ Parámetros'!G20/(1+2^(-'⚙ Parámetros'!F20*(AA127-'⚙ Parámetros'!E20))),1)*AA127)/(35/100*MAX('⚙ Parámetros'!D20/(1+2^(-'⚙ Parámetros'!C20*(Y127-'⚙ Parámetros'!B20))),'⚙ Parámetros'!G20/(1+2^(-'⚙ Parámetros'!F20*(Y127-'⚙ Parámetros'!E20))),1)+35/100*MAX('⚙ Parámetros'!D20/(1+2^(-'⚙ Parámetros'!C20*(Z127-'⚙ Parámetros'!B20))),'⚙ Parámetros'!G20/(1+2^(-'⚙ Parámetros'!F20*(Z127-'⚙ Parámetros'!E20))),1)+30/100*MAX('⚙ Parámetros'!D20/(1+2^(-'⚙ Parámetros'!C20*(AA127-'⚙ Parámetros'!B20))),'⚙ Parámetros'!G20/(1+2^(-'⚙ Parámetros'!F20*(AA127-'⚙ Parámetros'!E20))),1)),0)</f>
        <v>3.7272727272727275</v>
      </c>
      <c r="AH127" s="81">
        <f>('⚙ Parámetros'!B5/100*AB127+'⚙ Parámetros'!B6/100*AC127+'⚙ Parámetros'!B7/100*AD127+'⚙ Parámetros'!B8/100*AE127+'⚙ Parámetros'!B9/100*AF127+'⚙ Parámetros'!B10/100*AG127)</f>
        <v>2.4816966487528074</v>
      </c>
      <c r="AI127" s="33">
        <f ca="1">MIN(1+MAX(0,TODAY()-DATE(2025,8,5))/365*'⚙ Parámetros'!B33,'⚙ Parámetros'!B34)</f>
        <v>1.1278082191780823</v>
      </c>
      <c r="AJ127" s="82">
        <f t="shared" ca="1" si="6"/>
        <v>2.7988778779701184</v>
      </c>
      <c r="AK127" s="83" t="str">
        <f ca="1">IF(AB127&gt;='⚙ Parámetros'!B23,"⚑ AUTO-PRIOR.(D1≥8)",IF(AJ127&gt;='⚙ Parámetros'!B23,"PRIORITARIO",IF(AJ127&gt;='⚙ Parámetros'!B24,"ALTA PRIORIDAD",IF(AJ127&gt;='⚙ Parámetros'!B25,"PRIORIDAD MEDIA",IF(AJ127&gt;='⚙ Parámetros'!B26,"BAJA PRIORIDAD","DESCARTAR")))))</f>
        <v>DESCARTAR</v>
      </c>
      <c r="AL127" s="84" t="str">
        <f t="shared" si="7"/>
        <v>—</v>
      </c>
      <c r="AM127" s="85">
        <v>37</v>
      </c>
      <c r="AN127" s="83" t="str">
        <f>IF(AM127="","—",IF(AM127&lt;'⚙ Parámetros'!B29,"🟢 Corto",IF(AM127&lt;'⚙ Parámetros'!B30,"🟡 Medio","🔴 Largo")))</f>
        <v>🟡 Medio</v>
      </c>
    </row>
    <row r="128" spans="1:40" ht="18.75" customHeight="1" x14ac:dyDescent="0.25">
      <c r="A128" s="69">
        <v>124</v>
      </c>
      <c r="B128" s="30" t="s">
        <v>365</v>
      </c>
      <c r="C128" s="26" t="s">
        <v>135</v>
      </c>
      <c r="D128" s="71" t="s">
        <v>263</v>
      </c>
      <c r="E128" s="72" t="s">
        <v>330</v>
      </c>
      <c r="F128" s="74">
        <v>1</v>
      </c>
      <c r="G128" s="74">
        <v>1</v>
      </c>
      <c r="H128" s="74">
        <v>1</v>
      </c>
      <c r="I128" s="74">
        <v>1</v>
      </c>
      <c r="J128" s="74">
        <v>1</v>
      </c>
      <c r="K128" s="74">
        <v>1</v>
      </c>
      <c r="L128" s="74">
        <v>1</v>
      </c>
      <c r="M128" s="86">
        <v>3</v>
      </c>
      <c r="N128" s="74">
        <v>1</v>
      </c>
      <c r="O128" s="74">
        <v>1</v>
      </c>
      <c r="P128" s="74">
        <v>1</v>
      </c>
      <c r="Q128" s="74">
        <v>1</v>
      </c>
      <c r="R128" s="86">
        <v>6</v>
      </c>
      <c r="S128" s="86">
        <v>6</v>
      </c>
      <c r="T128" s="86">
        <v>5</v>
      </c>
      <c r="U128" s="86">
        <v>5</v>
      </c>
      <c r="V128" s="77">
        <v>8</v>
      </c>
      <c r="W128" s="86">
        <v>4</v>
      </c>
      <c r="X128" s="86">
        <v>5</v>
      </c>
      <c r="Y128" s="86">
        <v>4</v>
      </c>
      <c r="Z128" s="74">
        <v>2</v>
      </c>
      <c r="AA128" s="86">
        <v>5</v>
      </c>
      <c r="AB128" s="89">
        <f>IFERROR((30/100*MAX('⚙ Parámetros'!D15/(1+2^(-'⚙ Parámetros'!C15*(F128-'⚙ Parámetros'!B15))),'⚙ Parámetros'!G15/(1+2^(-'⚙ Parámetros'!F15*(F128-'⚙ Parámetros'!E15))),1)*F128+30/100*MAX('⚙ Parámetros'!D15/(1+2^(-'⚙ Parámetros'!C15*(G128-'⚙ Parámetros'!B15))),'⚙ Parámetros'!G15/(1+2^(-'⚙ Parámetros'!F15*(G128-'⚙ Parámetros'!E15))),1)*G128+20/100*MAX('⚙ Parámetros'!D15/(1+2^(-'⚙ Parámetros'!C15*(H128-'⚙ Parámetros'!B15))),'⚙ Parámetros'!G15/(1+2^(-'⚙ Parámetros'!F15*(H128-'⚙ Parámetros'!E15))),1)*H128+20/100*MAX('⚙ Parámetros'!D15/(1+2^(-'⚙ Parámetros'!C15*(I128-'⚙ Parámetros'!B15))),'⚙ Parámetros'!G15/(1+2^(-'⚙ Parámetros'!F15*(I128-'⚙ Parámetros'!E15))),1)*I128)/(30/100*MAX('⚙ Parámetros'!D15/(1+2^(-'⚙ Parámetros'!C15*(F128-'⚙ Parámetros'!B15))),'⚙ Parámetros'!G15/(1+2^(-'⚙ Parámetros'!F15*(F128-'⚙ Parámetros'!E15))),1)+30/100*MAX('⚙ Parámetros'!D15/(1+2^(-'⚙ Parámetros'!C15*(G128-'⚙ Parámetros'!B15))),'⚙ Parámetros'!G15/(1+2^(-'⚙ Parámetros'!F15*(G128-'⚙ Parámetros'!E15))),1)+20/100*MAX('⚙ Parámetros'!D15/(1+2^(-'⚙ Parámetros'!C15*(H128-'⚙ Parámetros'!B15))),'⚙ Parámetros'!G15/(1+2^(-'⚙ Parámetros'!F15*(H128-'⚙ Parámetros'!E15))),1)+20/100*MAX('⚙ Parámetros'!D15/(1+2^(-'⚙ Parámetros'!C15*(I128-'⚙ Parámetros'!B15))),'⚙ Parámetros'!G15/(1+2^(-'⚙ Parámetros'!F15*(I128-'⚙ Parámetros'!E15))),1)),0)</f>
        <v>1</v>
      </c>
      <c r="AC128" s="89">
        <f>IFERROR((35/100*MAX('⚙ Parámetros'!D16/(1+2^(-'⚙ Parámetros'!C16*(J128-'⚙ Parámetros'!B16))),'⚙ Parámetros'!G16/(1+2^(-'⚙ Parámetros'!F16*(J128-'⚙ Parámetros'!E16))),1)*J128+25/100*MAX('⚙ Parámetros'!D16/(1+2^(-'⚙ Parámetros'!C16*(K128-'⚙ Parámetros'!B16))),'⚙ Parámetros'!G16/(1+2^(-'⚙ Parámetros'!F16*(K128-'⚙ Parámetros'!E16))),1)*K128+20/100*MAX('⚙ Parámetros'!D16/(1+2^(-'⚙ Parámetros'!C16*(L128-'⚙ Parámetros'!B16))),'⚙ Parámetros'!G16/(1+2^(-'⚙ Parámetros'!F16*(L128-'⚙ Parámetros'!E16))),1)*L128+20/100*MAX('⚙ Parámetros'!D16/(1+2^(-'⚙ Parámetros'!C16*(M128-'⚙ Parámetros'!B16))),'⚙ Parámetros'!G16/(1+2^(-'⚙ Parámetros'!F16*(M128-'⚙ Parámetros'!E16))),1)*M128)/(35/100*MAX('⚙ Parámetros'!D16/(1+2^(-'⚙ Parámetros'!C16*(J128-'⚙ Parámetros'!B16))),'⚙ Parámetros'!G16/(1+2^(-'⚙ Parámetros'!F16*(J128-'⚙ Parámetros'!E16))),1)+25/100*MAX('⚙ Parámetros'!D16/(1+2^(-'⚙ Parámetros'!C16*(K128-'⚙ Parámetros'!B16))),'⚙ Parámetros'!G16/(1+2^(-'⚙ Parámetros'!F16*(K128-'⚙ Parámetros'!E16))),1)+20/100*MAX('⚙ Parámetros'!D16/(1+2^(-'⚙ Parámetros'!C16*(L128-'⚙ Parámetros'!B16))),'⚙ Parámetros'!G16/(1+2^(-'⚙ Parámetros'!F16*(L128-'⚙ Parámetros'!E16))),1)+20/100*MAX('⚙ Parámetros'!D16/(1+2^(-'⚙ Parámetros'!C16*(M128-'⚙ Parámetros'!B16))),'⚙ Parámetros'!G16/(1+2^(-'⚙ Parámetros'!F16*(M128-'⚙ Parámetros'!E16))),1)),0)</f>
        <v>1.4000000000000001</v>
      </c>
      <c r="AD128" s="89">
        <f>IFERROR((30/100*MAX('⚙ Parámetros'!D17/(1+2^(-'⚙ Parámetros'!C17*(N128-'⚙ Parámetros'!B17))),'⚙ Parámetros'!G17/(1+2^(-'⚙ Parámetros'!F17*(N128-'⚙ Parámetros'!E17))),1)*N128+25/100*MAX('⚙ Parámetros'!D17/(1+2^(-'⚙ Parámetros'!C17*(O128-'⚙ Parámetros'!B17))),'⚙ Parámetros'!G17/(1+2^(-'⚙ Parámetros'!F17*(O128-'⚙ Parámetros'!E17))),1)*O128+25/100*MAX('⚙ Parámetros'!D17/(1+2^(-'⚙ Parámetros'!C17*(P128-'⚙ Parámetros'!B17))),'⚙ Parámetros'!G17/(1+2^(-'⚙ Parámetros'!F17*(P128-'⚙ Parámetros'!E17))),1)*P128+20/100*MAX('⚙ Parámetros'!D17/(1+2^(-'⚙ Parámetros'!C17*(Q128-'⚙ Parámetros'!B17))),'⚙ Parámetros'!G17/(1+2^(-'⚙ Parámetros'!F17*(Q128-'⚙ Parámetros'!E17))),1)*Q128)/(30/100*MAX('⚙ Parámetros'!D17/(1+2^(-'⚙ Parámetros'!C17*(N128-'⚙ Parámetros'!B17))),'⚙ Parámetros'!G17/(1+2^(-'⚙ Parámetros'!F17*(N128-'⚙ Parámetros'!E17))),1)+25/100*MAX('⚙ Parámetros'!D17/(1+2^(-'⚙ Parámetros'!C17*(O128-'⚙ Parámetros'!B17))),'⚙ Parámetros'!G17/(1+2^(-'⚙ Parámetros'!F17*(O128-'⚙ Parámetros'!E17))),1)+25/100*MAX('⚙ Parámetros'!D17/(1+2^(-'⚙ Parámetros'!C17*(P128-'⚙ Parámetros'!B17))),'⚙ Parámetros'!G17/(1+2^(-'⚙ Parámetros'!F17*(P128-'⚙ Parámetros'!E17))),1)+20/100*MAX('⚙ Parámetros'!D17/(1+2^(-'⚙ Parámetros'!C17*(Q128-'⚙ Parámetros'!B17))),'⚙ Parámetros'!G17/(1+2^(-'⚙ Parámetros'!F17*(Q128-'⚙ Parámetros'!E17))),1)),0)</f>
        <v>1</v>
      </c>
      <c r="AE128" s="89">
        <f>IFERROR((30/100*MAX('⚙ Parámetros'!D18/(1+2^(-'⚙ Parámetros'!C18*(R128-'⚙ Parámetros'!B18))),'⚙ Parámetros'!G18/(1+2^(-'⚙ Parámetros'!F18*(R128-'⚙ Parámetros'!E18))),1)*R128+30/100*MAX('⚙ Parámetros'!D18/(1+2^(-'⚙ Parámetros'!C18*(S128-'⚙ Parámetros'!B18))),'⚙ Parámetros'!G18/(1+2^(-'⚙ Parámetros'!F18*(S128-'⚙ Parámetros'!E18))),1)*S128+20/100*MAX('⚙ Parámetros'!D18/(1+2^(-'⚙ Parámetros'!C18*(T128-'⚙ Parámetros'!B18))),'⚙ Parámetros'!G18/(1+2^(-'⚙ Parámetros'!F18*(T128-'⚙ Parámetros'!E18))),1)*T128+20/100*MAX('⚙ Parámetros'!D18/(1+2^(-'⚙ Parámetros'!C18*(U128-'⚙ Parámetros'!B18))),'⚙ Parámetros'!G18/(1+2^(-'⚙ Parámetros'!F18*(U128-'⚙ Parámetros'!E18))),1)*U128)/(30/100*MAX('⚙ Parámetros'!D18/(1+2^(-'⚙ Parámetros'!C18*(R128-'⚙ Parámetros'!B18))),'⚙ Parámetros'!G18/(1+2^(-'⚙ Parámetros'!F18*(R128-'⚙ Parámetros'!E18))),1)+30/100*MAX('⚙ Parámetros'!D18/(1+2^(-'⚙ Parámetros'!C18*(S128-'⚙ Parámetros'!B18))),'⚙ Parámetros'!G18/(1+2^(-'⚙ Parámetros'!F18*(S128-'⚙ Parámetros'!E18))),1)+20/100*MAX('⚙ Parámetros'!D18/(1+2^(-'⚙ Parámetros'!C18*(T128-'⚙ Parámetros'!B18))),'⚙ Parámetros'!G18/(1+2^(-'⚙ Parámetros'!F18*(T128-'⚙ Parámetros'!E18))),1)+20/100*MAX('⚙ Parámetros'!D18/(1+2^(-'⚙ Parámetros'!C18*(U128-'⚙ Parámetros'!B18))),'⚙ Parámetros'!G18/(1+2^(-'⚙ Parámetros'!F18*(U128-'⚙ Parámetros'!E18))),1)),0)</f>
        <v>5.6428571428571441</v>
      </c>
      <c r="AF128" s="89">
        <f>IFERROR((30/100*MAX('⚙ Parámetros'!D19/(1+2^(-'⚙ Parámetros'!C19*(V128-'⚙ Parámetros'!B19))),'⚙ Parámetros'!G19/(1+2^(-'⚙ Parámetros'!F19*(V128-'⚙ Parámetros'!E19))),1)*V128+35/100*MAX('⚙ Parámetros'!D19/(1+2^(-'⚙ Parámetros'!C19*(W128-'⚙ Parámetros'!B19))),'⚙ Parámetros'!G19/(1+2^(-'⚙ Parámetros'!F19*(W128-'⚙ Parámetros'!E19))),1)*W128+35/100*MAX('⚙ Parámetros'!D19/(1+2^(-'⚙ Parámetros'!C19*(X128-'⚙ Parámetros'!B19))),'⚙ Parámetros'!G19/(1+2^(-'⚙ Parámetros'!F19*(X128-'⚙ Parámetros'!E19))),1)*X128)/(30/100*MAX('⚙ Parámetros'!D19/(1+2^(-'⚙ Parámetros'!C19*(V128-'⚙ Parámetros'!B19))),'⚙ Parámetros'!G19/(1+2^(-'⚙ Parámetros'!F19*(V128-'⚙ Parámetros'!E19))),1)+35/100*MAX('⚙ Parámetros'!D19/(1+2^(-'⚙ Parámetros'!C19*(W128-'⚙ Parámetros'!B19))),'⚙ Parámetros'!G19/(1+2^(-'⚙ Parámetros'!F19*(W128-'⚙ Parámetros'!E19))),1)+35/100*MAX('⚙ Parámetros'!D19/(1+2^(-'⚙ Parámetros'!C19*(X128-'⚙ Parámetros'!B19))),'⚙ Parámetros'!G19/(1+2^(-'⚙ Parámetros'!F19*(X128-'⚙ Parámetros'!E19))),1)),0)</f>
        <v>6.1538461538461542</v>
      </c>
      <c r="AG128" s="89">
        <f>IFERROR((35/100*MAX('⚙ Parámetros'!D20/(1+2^(-'⚙ Parámetros'!C20*(Y128-'⚙ Parámetros'!B20))),'⚙ Parámetros'!G20/(1+2^(-'⚙ Parámetros'!F20*(Y128-'⚙ Parámetros'!E20))),1)*Y128+35/100*MAX('⚙ Parámetros'!D20/(1+2^(-'⚙ Parámetros'!C20*(Z128-'⚙ Parámetros'!B20))),'⚙ Parámetros'!G20/(1+2^(-'⚙ Parámetros'!F20*(Z128-'⚙ Parámetros'!E20))),1)*Z128+30/100*MAX('⚙ Parámetros'!D20/(1+2^(-'⚙ Parámetros'!C20*(AA128-'⚙ Parámetros'!B20))),'⚙ Parámetros'!G20/(1+2^(-'⚙ Parámetros'!F20*(AA128-'⚙ Parámetros'!E20))),1)*AA128)/(35/100*MAX('⚙ Parámetros'!D20/(1+2^(-'⚙ Parámetros'!C20*(Y128-'⚙ Parámetros'!B20))),'⚙ Parámetros'!G20/(1+2^(-'⚙ Parámetros'!F20*(Y128-'⚙ Parámetros'!E20))),1)+35/100*MAX('⚙ Parámetros'!D20/(1+2^(-'⚙ Parámetros'!C20*(Z128-'⚙ Parámetros'!B20))),'⚙ Parámetros'!G20/(1+2^(-'⚙ Parámetros'!F20*(Z128-'⚙ Parámetros'!E20))),1)+30/100*MAX('⚙ Parámetros'!D20/(1+2^(-'⚙ Parámetros'!C20*(AA128-'⚙ Parámetros'!B20))),'⚙ Parámetros'!G20/(1+2^(-'⚙ Parámetros'!F20*(AA128-'⚙ Parámetros'!E20))),1)),0)</f>
        <v>3.7272727272727275</v>
      </c>
      <c r="AH128" s="90">
        <f>('⚙ Parámetros'!B5/100*AB128+'⚙ Parámetros'!B6/100*AC128+'⚙ Parámetros'!B7/100*AD128+'⚙ Parámetros'!B8/100*AE128+'⚙ Parámetros'!B9/100*AF128+'⚙ Parámetros'!B10/100*AG128)</f>
        <v>2.370709290709291</v>
      </c>
      <c r="AI128" s="91">
        <f ca="1">MIN(1+MAX(0,TODAY()-DATE(2026,5,4))/365*'⚙ Parámetros'!B33,'⚙ Parámetros'!B34)</f>
        <v>1.016027397260274</v>
      </c>
      <c r="AJ128" s="82">
        <f t="shared" ca="1" si="6"/>
        <v>2.4087055903001113</v>
      </c>
      <c r="AK128" s="92" t="str">
        <f ca="1">IF(AB128&gt;='⚙ Parámetros'!B23,"⚑ AUTO-PRIOR.(D1≥8)",IF(AJ128&gt;='⚙ Parámetros'!B23,"PRIORITARIO",IF(AJ128&gt;='⚙ Parámetros'!B24,"ALTA PRIORIDAD",IF(AJ128&gt;='⚙ Parámetros'!B25,"PRIORIDAD MEDIA",IF(AJ128&gt;='⚙ Parámetros'!B26,"BAJA PRIORIDAD","DESCARTAR")))))</f>
        <v>DESCARTAR</v>
      </c>
      <c r="AL128" s="69" t="str">
        <f t="shared" si="7"/>
        <v>—</v>
      </c>
      <c r="AM128" s="85">
        <v>37</v>
      </c>
      <c r="AN128" s="83" t="str">
        <f>IF(AM128="","—",IF(AM128&lt;'⚙ Parámetros'!B29,"🟢 Corto",IF(AM128&lt;'⚙ Parámetros'!B30,"🟡 Medio","🔴 Largo")))</f>
        <v>🟡 Medio</v>
      </c>
    </row>
    <row r="129" spans="1:40" ht="18.75" customHeight="1" x14ac:dyDescent="0.25">
      <c r="A129" s="69">
        <v>125</v>
      </c>
      <c r="B129" s="70" t="s">
        <v>366</v>
      </c>
      <c r="C129" s="4" t="s">
        <v>135</v>
      </c>
      <c r="D129" s="71" t="s">
        <v>367</v>
      </c>
      <c r="E129" s="72" t="s">
        <v>249</v>
      </c>
      <c r="F129" s="74">
        <v>1</v>
      </c>
      <c r="G129" s="74">
        <v>1</v>
      </c>
      <c r="H129" s="74">
        <v>1</v>
      </c>
      <c r="I129" s="74">
        <v>1</v>
      </c>
      <c r="J129" s="74">
        <v>1</v>
      </c>
      <c r="K129" s="74">
        <v>1</v>
      </c>
      <c r="L129" s="74">
        <v>1</v>
      </c>
      <c r="M129" s="73">
        <v>3</v>
      </c>
      <c r="N129" s="74">
        <v>1</v>
      </c>
      <c r="O129" s="74">
        <v>1</v>
      </c>
      <c r="P129" s="74">
        <v>1</v>
      </c>
      <c r="Q129" s="74">
        <v>1</v>
      </c>
      <c r="R129" s="73">
        <v>5</v>
      </c>
      <c r="S129" s="73">
        <v>5</v>
      </c>
      <c r="T129" s="73">
        <v>5</v>
      </c>
      <c r="U129" s="73">
        <v>5</v>
      </c>
      <c r="V129" s="73">
        <v>5</v>
      </c>
      <c r="W129" s="73">
        <v>6</v>
      </c>
      <c r="X129" s="73">
        <v>6</v>
      </c>
      <c r="Y129" s="73">
        <v>4</v>
      </c>
      <c r="Z129" s="74">
        <v>2</v>
      </c>
      <c r="AA129" s="73">
        <v>5</v>
      </c>
      <c r="AB129" s="80">
        <f>IFERROR((30/100*MAX('⚙ Parámetros'!D15/(1+2^(-'⚙ Parámetros'!C15*(F129-'⚙ Parámetros'!B15))),'⚙ Parámetros'!G15/(1+2^(-'⚙ Parámetros'!F15*(F129-'⚙ Parámetros'!E15))),1)*F129+30/100*MAX('⚙ Parámetros'!D15/(1+2^(-'⚙ Parámetros'!C15*(G129-'⚙ Parámetros'!B15))),'⚙ Parámetros'!G15/(1+2^(-'⚙ Parámetros'!F15*(G129-'⚙ Parámetros'!E15))),1)*G129+20/100*MAX('⚙ Parámetros'!D15/(1+2^(-'⚙ Parámetros'!C15*(H129-'⚙ Parámetros'!B15))),'⚙ Parámetros'!G15/(1+2^(-'⚙ Parámetros'!F15*(H129-'⚙ Parámetros'!E15))),1)*H129+20/100*MAX('⚙ Parámetros'!D15/(1+2^(-'⚙ Parámetros'!C15*(I129-'⚙ Parámetros'!B15))),'⚙ Parámetros'!G15/(1+2^(-'⚙ Parámetros'!F15*(I129-'⚙ Parámetros'!E15))),1)*I129)/(30/100*MAX('⚙ Parámetros'!D15/(1+2^(-'⚙ Parámetros'!C15*(F129-'⚙ Parámetros'!B15))),'⚙ Parámetros'!G15/(1+2^(-'⚙ Parámetros'!F15*(F129-'⚙ Parámetros'!E15))),1)+30/100*MAX('⚙ Parámetros'!D15/(1+2^(-'⚙ Parámetros'!C15*(G129-'⚙ Parámetros'!B15))),'⚙ Parámetros'!G15/(1+2^(-'⚙ Parámetros'!F15*(G129-'⚙ Parámetros'!E15))),1)+20/100*MAX('⚙ Parámetros'!D15/(1+2^(-'⚙ Parámetros'!C15*(H129-'⚙ Parámetros'!B15))),'⚙ Parámetros'!G15/(1+2^(-'⚙ Parámetros'!F15*(H129-'⚙ Parámetros'!E15))),1)+20/100*MAX('⚙ Parámetros'!D15/(1+2^(-'⚙ Parámetros'!C15*(I129-'⚙ Parámetros'!B15))),'⚙ Parámetros'!G15/(1+2^(-'⚙ Parámetros'!F15*(I129-'⚙ Parámetros'!E15))),1)),0)</f>
        <v>1</v>
      </c>
      <c r="AC129" s="80">
        <f>IFERROR((35/100*MAX('⚙ Parámetros'!D16/(1+2^(-'⚙ Parámetros'!C16*(J129-'⚙ Parámetros'!B16))),'⚙ Parámetros'!G16/(1+2^(-'⚙ Parámetros'!F16*(J129-'⚙ Parámetros'!E16))),1)*J129+25/100*MAX('⚙ Parámetros'!D16/(1+2^(-'⚙ Parámetros'!C16*(K129-'⚙ Parámetros'!B16))),'⚙ Parámetros'!G16/(1+2^(-'⚙ Parámetros'!F16*(K129-'⚙ Parámetros'!E16))),1)*K129+20/100*MAX('⚙ Parámetros'!D16/(1+2^(-'⚙ Parámetros'!C16*(L129-'⚙ Parámetros'!B16))),'⚙ Parámetros'!G16/(1+2^(-'⚙ Parámetros'!F16*(L129-'⚙ Parámetros'!E16))),1)*L129+20/100*MAX('⚙ Parámetros'!D16/(1+2^(-'⚙ Parámetros'!C16*(M129-'⚙ Parámetros'!B16))),'⚙ Parámetros'!G16/(1+2^(-'⚙ Parámetros'!F16*(M129-'⚙ Parámetros'!E16))),1)*M129)/(35/100*MAX('⚙ Parámetros'!D16/(1+2^(-'⚙ Parámetros'!C16*(J129-'⚙ Parámetros'!B16))),'⚙ Parámetros'!G16/(1+2^(-'⚙ Parámetros'!F16*(J129-'⚙ Parámetros'!E16))),1)+25/100*MAX('⚙ Parámetros'!D16/(1+2^(-'⚙ Parámetros'!C16*(K129-'⚙ Parámetros'!B16))),'⚙ Parámetros'!G16/(1+2^(-'⚙ Parámetros'!F16*(K129-'⚙ Parámetros'!E16))),1)+20/100*MAX('⚙ Parámetros'!D16/(1+2^(-'⚙ Parámetros'!C16*(L129-'⚙ Parámetros'!B16))),'⚙ Parámetros'!G16/(1+2^(-'⚙ Parámetros'!F16*(L129-'⚙ Parámetros'!E16))),1)+20/100*MAX('⚙ Parámetros'!D16/(1+2^(-'⚙ Parámetros'!C16*(M129-'⚙ Parámetros'!B16))),'⚙ Parámetros'!G16/(1+2^(-'⚙ Parámetros'!F16*(M129-'⚙ Parámetros'!E16))),1)),0)</f>
        <v>1.4000000000000001</v>
      </c>
      <c r="AD129" s="80">
        <f>IFERROR((30/100*MAX('⚙ Parámetros'!D17/(1+2^(-'⚙ Parámetros'!C17*(N129-'⚙ Parámetros'!B17))),'⚙ Parámetros'!G17/(1+2^(-'⚙ Parámetros'!F17*(N129-'⚙ Parámetros'!E17))),1)*N129+25/100*MAX('⚙ Parámetros'!D17/(1+2^(-'⚙ Parámetros'!C17*(O129-'⚙ Parámetros'!B17))),'⚙ Parámetros'!G17/(1+2^(-'⚙ Parámetros'!F17*(O129-'⚙ Parámetros'!E17))),1)*O129+25/100*MAX('⚙ Parámetros'!D17/(1+2^(-'⚙ Parámetros'!C17*(P129-'⚙ Parámetros'!B17))),'⚙ Parámetros'!G17/(1+2^(-'⚙ Parámetros'!F17*(P129-'⚙ Parámetros'!E17))),1)*P129+20/100*MAX('⚙ Parámetros'!D17/(1+2^(-'⚙ Parámetros'!C17*(Q129-'⚙ Parámetros'!B17))),'⚙ Parámetros'!G17/(1+2^(-'⚙ Parámetros'!F17*(Q129-'⚙ Parámetros'!E17))),1)*Q129)/(30/100*MAX('⚙ Parámetros'!D17/(1+2^(-'⚙ Parámetros'!C17*(N129-'⚙ Parámetros'!B17))),'⚙ Parámetros'!G17/(1+2^(-'⚙ Parámetros'!F17*(N129-'⚙ Parámetros'!E17))),1)+25/100*MAX('⚙ Parámetros'!D17/(1+2^(-'⚙ Parámetros'!C17*(O129-'⚙ Parámetros'!B17))),'⚙ Parámetros'!G17/(1+2^(-'⚙ Parámetros'!F17*(O129-'⚙ Parámetros'!E17))),1)+25/100*MAX('⚙ Parámetros'!D17/(1+2^(-'⚙ Parámetros'!C17*(P129-'⚙ Parámetros'!B17))),'⚙ Parámetros'!G17/(1+2^(-'⚙ Parámetros'!F17*(P129-'⚙ Parámetros'!E17))),1)+20/100*MAX('⚙ Parámetros'!D17/(1+2^(-'⚙ Parámetros'!C17*(Q129-'⚙ Parámetros'!B17))),'⚙ Parámetros'!G17/(1+2^(-'⚙ Parámetros'!F17*(Q129-'⚙ Parámetros'!E17))),1)),0)</f>
        <v>1</v>
      </c>
      <c r="AE129" s="80">
        <f>IFERROR((30/100*MAX('⚙ Parámetros'!D18/(1+2^(-'⚙ Parámetros'!C18*(R129-'⚙ Parámetros'!B18))),'⚙ Parámetros'!G18/(1+2^(-'⚙ Parámetros'!F18*(R129-'⚙ Parámetros'!E18))),1)*R129+30/100*MAX('⚙ Parámetros'!D18/(1+2^(-'⚙ Parámetros'!C18*(S129-'⚙ Parámetros'!B18))),'⚙ Parámetros'!G18/(1+2^(-'⚙ Parámetros'!F18*(S129-'⚙ Parámetros'!E18))),1)*S129+20/100*MAX('⚙ Parámetros'!D18/(1+2^(-'⚙ Parámetros'!C18*(T129-'⚙ Parámetros'!B18))),'⚙ Parámetros'!G18/(1+2^(-'⚙ Parámetros'!F18*(T129-'⚙ Parámetros'!E18))),1)*T129+20/100*MAX('⚙ Parámetros'!D18/(1+2^(-'⚙ Parámetros'!C18*(U129-'⚙ Parámetros'!B18))),'⚙ Parámetros'!G18/(1+2^(-'⚙ Parámetros'!F18*(U129-'⚙ Parámetros'!E18))),1)*U129)/(30/100*MAX('⚙ Parámetros'!D18/(1+2^(-'⚙ Parámetros'!C18*(R129-'⚙ Parámetros'!B18))),'⚙ Parámetros'!G18/(1+2^(-'⚙ Parámetros'!F18*(R129-'⚙ Parámetros'!E18))),1)+30/100*MAX('⚙ Parámetros'!D18/(1+2^(-'⚙ Parámetros'!C18*(S129-'⚙ Parámetros'!B18))),'⚙ Parámetros'!G18/(1+2^(-'⚙ Parámetros'!F18*(S129-'⚙ Parámetros'!E18))),1)+20/100*MAX('⚙ Parámetros'!D18/(1+2^(-'⚙ Parámetros'!C18*(T129-'⚙ Parámetros'!B18))),'⚙ Parámetros'!G18/(1+2^(-'⚙ Parámetros'!F18*(T129-'⚙ Parámetros'!E18))),1)+20/100*MAX('⚙ Parámetros'!D18/(1+2^(-'⚙ Parámetros'!C18*(U129-'⚙ Parámetros'!B18))),'⚙ Parámetros'!G18/(1+2^(-'⚙ Parámetros'!F18*(U129-'⚙ Parámetros'!E18))),1)),0)</f>
        <v>5</v>
      </c>
      <c r="AF129" s="80">
        <f>IFERROR((30/100*MAX('⚙ Parámetros'!D19/(1+2^(-'⚙ Parámetros'!C19*(V129-'⚙ Parámetros'!B19))),'⚙ Parámetros'!G19/(1+2^(-'⚙ Parámetros'!F19*(V129-'⚙ Parámetros'!E19))),1)*V129+35/100*MAX('⚙ Parámetros'!D19/(1+2^(-'⚙ Parámetros'!C19*(W129-'⚙ Parámetros'!B19))),'⚙ Parámetros'!G19/(1+2^(-'⚙ Parámetros'!F19*(W129-'⚙ Parámetros'!E19))),1)*W129+35/100*MAX('⚙ Parámetros'!D19/(1+2^(-'⚙ Parámetros'!C19*(X129-'⚙ Parámetros'!B19))),'⚙ Parámetros'!G19/(1+2^(-'⚙ Parámetros'!F19*(X129-'⚙ Parámetros'!E19))),1)*X129)/(30/100*MAX('⚙ Parámetros'!D19/(1+2^(-'⚙ Parámetros'!C19*(V129-'⚙ Parámetros'!B19))),'⚙ Parámetros'!G19/(1+2^(-'⚙ Parámetros'!F19*(V129-'⚙ Parámetros'!E19))),1)+35/100*MAX('⚙ Parámetros'!D19/(1+2^(-'⚙ Parámetros'!C19*(W129-'⚙ Parámetros'!B19))),'⚙ Parámetros'!G19/(1+2^(-'⚙ Parámetros'!F19*(W129-'⚙ Parámetros'!E19))),1)+35/100*MAX('⚙ Parámetros'!D19/(1+2^(-'⚙ Parámetros'!C19*(X129-'⚙ Parámetros'!B19))),'⚙ Parámetros'!G19/(1+2^(-'⚙ Parámetros'!F19*(X129-'⚙ Parámetros'!E19))),1)),0)</f>
        <v>5.7368421052631575</v>
      </c>
      <c r="AG129" s="80">
        <f>IFERROR((35/100*MAX('⚙ Parámetros'!D20/(1+2^(-'⚙ Parámetros'!C20*(Y129-'⚙ Parámetros'!B20))),'⚙ Parámetros'!G20/(1+2^(-'⚙ Parámetros'!F20*(Y129-'⚙ Parámetros'!E20))),1)*Y129+35/100*MAX('⚙ Parámetros'!D20/(1+2^(-'⚙ Parámetros'!C20*(Z129-'⚙ Parámetros'!B20))),'⚙ Parámetros'!G20/(1+2^(-'⚙ Parámetros'!F20*(Z129-'⚙ Parámetros'!E20))),1)*Z129+30/100*MAX('⚙ Parámetros'!D20/(1+2^(-'⚙ Parámetros'!C20*(AA129-'⚙ Parámetros'!B20))),'⚙ Parámetros'!G20/(1+2^(-'⚙ Parámetros'!F20*(AA129-'⚙ Parámetros'!E20))),1)*AA129)/(35/100*MAX('⚙ Parámetros'!D20/(1+2^(-'⚙ Parámetros'!C20*(Y129-'⚙ Parámetros'!B20))),'⚙ Parámetros'!G20/(1+2^(-'⚙ Parámetros'!F20*(Y129-'⚙ Parámetros'!E20))),1)+35/100*MAX('⚙ Parámetros'!D20/(1+2^(-'⚙ Parámetros'!C20*(Z129-'⚙ Parámetros'!B20))),'⚙ Parámetros'!G20/(1+2^(-'⚙ Parámetros'!F20*(Z129-'⚙ Parámetros'!E20))),1)+30/100*MAX('⚙ Parámetros'!D20/(1+2^(-'⚙ Parámetros'!C20*(AA129-'⚙ Parámetros'!B20))),'⚙ Parámetros'!G20/(1+2^(-'⚙ Parámetros'!F20*(AA129-'⚙ Parámetros'!E20))),1)),0)</f>
        <v>3.7272727272727275</v>
      </c>
      <c r="AH129" s="81">
        <f>('⚙ Parámetros'!B5/100*AB129+'⚙ Parámetros'!B6/100*AC129+'⚙ Parámetros'!B7/100*AD129+'⚙ Parámetros'!B8/100*AE129+'⚙ Parámetros'!B9/100*AF129+'⚙ Parámetros'!B10/100*AG129)</f>
        <v>2.2518660287081338</v>
      </c>
      <c r="AI129" s="33">
        <f ca="1">MIN(1+MAX(0,TODAY()-DATE(2026,3,18))/365*'⚙ Parámetros'!B33,'⚙ Parámetros'!B34)</f>
        <v>1.0353424657534247</v>
      </c>
      <c r="AJ129" s="82">
        <f t="shared" ca="1" si="6"/>
        <v>2.3314525267090516</v>
      </c>
      <c r="AK129" s="83" t="str">
        <f ca="1">IF(AB129&gt;='⚙ Parámetros'!B23,"⚑ AUTO-PRIOR.(D1≥8)",IF(AJ129&gt;='⚙ Parámetros'!B23,"PRIORITARIO",IF(AJ129&gt;='⚙ Parámetros'!B24,"ALTA PRIORIDAD",IF(AJ129&gt;='⚙ Parámetros'!B25,"PRIORIDAD MEDIA",IF(AJ129&gt;='⚙ Parámetros'!B26,"BAJA PRIORIDAD","DESCARTAR")))))</f>
        <v>DESCARTAR</v>
      </c>
      <c r="AL129" s="84" t="str">
        <f t="shared" si="7"/>
        <v>—</v>
      </c>
      <c r="AM129" s="85">
        <v>27</v>
      </c>
      <c r="AN129" s="83" t="str">
        <f>IF(AM129="","—",IF(AM129&lt;'⚙ Parámetros'!B29,"🟢 Corto",IF(AM129&lt;'⚙ Parámetros'!B30,"🟡 Medio","🔴 Largo")))</f>
        <v>🟢 Corto</v>
      </c>
    </row>
    <row r="130" spans="1:40" ht="18.75" customHeight="1" x14ac:dyDescent="0.25">
      <c r="A130" s="69">
        <v>126</v>
      </c>
      <c r="B130" s="30" t="s">
        <v>368</v>
      </c>
      <c r="C130" s="26" t="s">
        <v>135</v>
      </c>
      <c r="D130" s="71" t="s">
        <v>139</v>
      </c>
      <c r="E130" s="72" t="s">
        <v>326</v>
      </c>
      <c r="F130" s="74">
        <v>1</v>
      </c>
      <c r="G130" s="74">
        <v>1</v>
      </c>
      <c r="H130" s="74">
        <v>1</v>
      </c>
      <c r="I130" s="74">
        <v>1</v>
      </c>
      <c r="J130" s="74">
        <v>1</v>
      </c>
      <c r="K130" s="74">
        <v>1</v>
      </c>
      <c r="L130" s="74">
        <v>1</v>
      </c>
      <c r="M130" s="86">
        <v>3</v>
      </c>
      <c r="N130" s="74">
        <v>1</v>
      </c>
      <c r="O130" s="74">
        <v>1</v>
      </c>
      <c r="P130" s="74">
        <v>1</v>
      </c>
      <c r="Q130" s="74">
        <v>1</v>
      </c>
      <c r="R130" s="86">
        <v>5</v>
      </c>
      <c r="S130" s="86">
        <v>5</v>
      </c>
      <c r="T130" s="86">
        <v>5</v>
      </c>
      <c r="U130" s="86">
        <v>5</v>
      </c>
      <c r="V130" s="86">
        <v>5</v>
      </c>
      <c r="W130" s="86">
        <v>6</v>
      </c>
      <c r="X130" s="86">
        <v>6</v>
      </c>
      <c r="Y130" s="86">
        <v>4</v>
      </c>
      <c r="Z130" s="74">
        <v>2</v>
      </c>
      <c r="AA130" s="86">
        <v>5</v>
      </c>
      <c r="AB130" s="89">
        <f>IFERROR((30/100*MAX('⚙ Parámetros'!D15/(1+2^(-'⚙ Parámetros'!C15*(F130-'⚙ Parámetros'!B15))),'⚙ Parámetros'!G15/(1+2^(-'⚙ Parámetros'!F15*(F130-'⚙ Parámetros'!E15))),1)*F130+30/100*MAX('⚙ Parámetros'!D15/(1+2^(-'⚙ Parámetros'!C15*(G130-'⚙ Parámetros'!B15))),'⚙ Parámetros'!G15/(1+2^(-'⚙ Parámetros'!F15*(G130-'⚙ Parámetros'!E15))),1)*G130+20/100*MAX('⚙ Parámetros'!D15/(1+2^(-'⚙ Parámetros'!C15*(H130-'⚙ Parámetros'!B15))),'⚙ Parámetros'!G15/(1+2^(-'⚙ Parámetros'!F15*(H130-'⚙ Parámetros'!E15))),1)*H130+20/100*MAX('⚙ Parámetros'!D15/(1+2^(-'⚙ Parámetros'!C15*(I130-'⚙ Parámetros'!B15))),'⚙ Parámetros'!G15/(1+2^(-'⚙ Parámetros'!F15*(I130-'⚙ Parámetros'!E15))),1)*I130)/(30/100*MAX('⚙ Parámetros'!D15/(1+2^(-'⚙ Parámetros'!C15*(F130-'⚙ Parámetros'!B15))),'⚙ Parámetros'!G15/(1+2^(-'⚙ Parámetros'!F15*(F130-'⚙ Parámetros'!E15))),1)+30/100*MAX('⚙ Parámetros'!D15/(1+2^(-'⚙ Parámetros'!C15*(G130-'⚙ Parámetros'!B15))),'⚙ Parámetros'!G15/(1+2^(-'⚙ Parámetros'!F15*(G130-'⚙ Parámetros'!E15))),1)+20/100*MAX('⚙ Parámetros'!D15/(1+2^(-'⚙ Parámetros'!C15*(H130-'⚙ Parámetros'!B15))),'⚙ Parámetros'!G15/(1+2^(-'⚙ Parámetros'!F15*(H130-'⚙ Parámetros'!E15))),1)+20/100*MAX('⚙ Parámetros'!D15/(1+2^(-'⚙ Parámetros'!C15*(I130-'⚙ Parámetros'!B15))),'⚙ Parámetros'!G15/(1+2^(-'⚙ Parámetros'!F15*(I130-'⚙ Parámetros'!E15))),1)),0)</f>
        <v>1</v>
      </c>
      <c r="AC130" s="89">
        <f>IFERROR((35/100*MAX('⚙ Parámetros'!D16/(1+2^(-'⚙ Parámetros'!C16*(J130-'⚙ Parámetros'!B16))),'⚙ Parámetros'!G16/(1+2^(-'⚙ Parámetros'!F16*(J130-'⚙ Parámetros'!E16))),1)*J130+25/100*MAX('⚙ Parámetros'!D16/(1+2^(-'⚙ Parámetros'!C16*(K130-'⚙ Parámetros'!B16))),'⚙ Parámetros'!G16/(1+2^(-'⚙ Parámetros'!F16*(K130-'⚙ Parámetros'!E16))),1)*K130+20/100*MAX('⚙ Parámetros'!D16/(1+2^(-'⚙ Parámetros'!C16*(L130-'⚙ Parámetros'!B16))),'⚙ Parámetros'!G16/(1+2^(-'⚙ Parámetros'!F16*(L130-'⚙ Parámetros'!E16))),1)*L130+20/100*MAX('⚙ Parámetros'!D16/(1+2^(-'⚙ Parámetros'!C16*(M130-'⚙ Parámetros'!B16))),'⚙ Parámetros'!G16/(1+2^(-'⚙ Parámetros'!F16*(M130-'⚙ Parámetros'!E16))),1)*M130)/(35/100*MAX('⚙ Parámetros'!D16/(1+2^(-'⚙ Parámetros'!C16*(J130-'⚙ Parámetros'!B16))),'⚙ Parámetros'!G16/(1+2^(-'⚙ Parámetros'!F16*(J130-'⚙ Parámetros'!E16))),1)+25/100*MAX('⚙ Parámetros'!D16/(1+2^(-'⚙ Parámetros'!C16*(K130-'⚙ Parámetros'!B16))),'⚙ Parámetros'!G16/(1+2^(-'⚙ Parámetros'!F16*(K130-'⚙ Parámetros'!E16))),1)+20/100*MAX('⚙ Parámetros'!D16/(1+2^(-'⚙ Parámetros'!C16*(L130-'⚙ Parámetros'!B16))),'⚙ Parámetros'!G16/(1+2^(-'⚙ Parámetros'!F16*(L130-'⚙ Parámetros'!E16))),1)+20/100*MAX('⚙ Parámetros'!D16/(1+2^(-'⚙ Parámetros'!C16*(M130-'⚙ Parámetros'!B16))),'⚙ Parámetros'!G16/(1+2^(-'⚙ Parámetros'!F16*(M130-'⚙ Parámetros'!E16))),1)),0)</f>
        <v>1.4000000000000001</v>
      </c>
      <c r="AD130" s="89">
        <f>IFERROR((30/100*MAX('⚙ Parámetros'!D17/(1+2^(-'⚙ Parámetros'!C17*(N130-'⚙ Parámetros'!B17))),'⚙ Parámetros'!G17/(1+2^(-'⚙ Parámetros'!F17*(N130-'⚙ Parámetros'!E17))),1)*N130+25/100*MAX('⚙ Parámetros'!D17/(1+2^(-'⚙ Parámetros'!C17*(O130-'⚙ Parámetros'!B17))),'⚙ Parámetros'!G17/(1+2^(-'⚙ Parámetros'!F17*(O130-'⚙ Parámetros'!E17))),1)*O130+25/100*MAX('⚙ Parámetros'!D17/(1+2^(-'⚙ Parámetros'!C17*(P130-'⚙ Parámetros'!B17))),'⚙ Parámetros'!G17/(1+2^(-'⚙ Parámetros'!F17*(P130-'⚙ Parámetros'!E17))),1)*P130+20/100*MAX('⚙ Parámetros'!D17/(1+2^(-'⚙ Parámetros'!C17*(Q130-'⚙ Parámetros'!B17))),'⚙ Parámetros'!G17/(1+2^(-'⚙ Parámetros'!F17*(Q130-'⚙ Parámetros'!E17))),1)*Q130)/(30/100*MAX('⚙ Parámetros'!D17/(1+2^(-'⚙ Parámetros'!C17*(N130-'⚙ Parámetros'!B17))),'⚙ Parámetros'!G17/(1+2^(-'⚙ Parámetros'!F17*(N130-'⚙ Parámetros'!E17))),1)+25/100*MAX('⚙ Parámetros'!D17/(1+2^(-'⚙ Parámetros'!C17*(O130-'⚙ Parámetros'!B17))),'⚙ Parámetros'!G17/(1+2^(-'⚙ Parámetros'!F17*(O130-'⚙ Parámetros'!E17))),1)+25/100*MAX('⚙ Parámetros'!D17/(1+2^(-'⚙ Parámetros'!C17*(P130-'⚙ Parámetros'!B17))),'⚙ Parámetros'!G17/(1+2^(-'⚙ Parámetros'!F17*(P130-'⚙ Parámetros'!E17))),1)+20/100*MAX('⚙ Parámetros'!D17/(1+2^(-'⚙ Parámetros'!C17*(Q130-'⚙ Parámetros'!B17))),'⚙ Parámetros'!G17/(1+2^(-'⚙ Parámetros'!F17*(Q130-'⚙ Parámetros'!E17))),1)),0)</f>
        <v>1</v>
      </c>
      <c r="AE130" s="89">
        <f>IFERROR((30/100*MAX('⚙ Parámetros'!D18/(1+2^(-'⚙ Parámetros'!C18*(R130-'⚙ Parámetros'!B18))),'⚙ Parámetros'!G18/(1+2^(-'⚙ Parámetros'!F18*(R130-'⚙ Parámetros'!E18))),1)*R130+30/100*MAX('⚙ Parámetros'!D18/(1+2^(-'⚙ Parámetros'!C18*(S130-'⚙ Parámetros'!B18))),'⚙ Parámetros'!G18/(1+2^(-'⚙ Parámetros'!F18*(S130-'⚙ Parámetros'!E18))),1)*S130+20/100*MAX('⚙ Parámetros'!D18/(1+2^(-'⚙ Parámetros'!C18*(T130-'⚙ Parámetros'!B18))),'⚙ Parámetros'!G18/(1+2^(-'⚙ Parámetros'!F18*(T130-'⚙ Parámetros'!E18))),1)*T130+20/100*MAX('⚙ Parámetros'!D18/(1+2^(-'⚙ Parámetros'!C18*(U130-'⚙ Parámetros'!B18))),'⚙ Parámetros'!G18/(1+2^(-'⚙ Parámetros'!F18*(U130-'⚙ Parámetros'!E18))),1)*U130)/(30/100*MAX('⚙ Parámetros'!D18/(1+2^(-'⚙ Parámetros'!C18*(R130-'⚙ Parámetros'!B18))),'⚙ Parámetros'!G18/(1+2^(-'⚙ Parámetros'!F18*(R130-'⚙ Parámetros'!E18))),1)+30/100*MAX('⚙ Parámetros'!D18/(1+2^(-'⚙ Parámetros'!C18*(S130-'⚙ Parámetros'!B18))),'⚙ Parámetros'!G18/(1+2^(-'⚙ Parámetros'!F18*(S130-'⚙ Parámetros'!E18))),1)+20/100*MAX('⚙ Parámetros'!D18/(1+2^(-'⚙ Parámetros'!C18*(T130-'⚙ Parámetros'!B18))),'⚙ Parámetros'!G18/(1+2^(-'⚙ Parámetros'!F18*(T130-'⚙ Parámetros'!E18))),1)+20/100*MAX('⚙ Parámetros'!D18/(1+2^(-'⚙ Parámetros'!C18*(U130-'⚙ Parámetros'!B18))),'⚙ Parámetros'!G18/(1+2^(-'⚙ Parámetros'!F18*(U130-'⚙ Parámetros'!E18))),1)),0)</f>
        <v>5</v>
      </c>
      <c r="AF130" s="89">
        <f>IFERROR((30/100*MAX('⚙ Parámetros'!D19/(1+2^(-'⚙ Parámetros'!C19*(V130-'⚙ Parámetros'!B19))),'⚙ Parámetros'!G19/(1+2^(-'⚙ Parámetros'!F19*(V130-'⚙ Parámetros'!E19))),1)*V130+35/100*MAX('⚙ Parámetros'!D19/(1+2^(-'⚙ Parámetros'!C19*(W130-'⚙ Parámetros'!B19))),'⚙ Parámetros'!G19/(1+2^(-'⚙ Parámetros'!F19*(W130-'⚙ Parámetros'!E19))),1)*W130+35/100*MAX('⚙ Parámetros'!D19/(1+2^(-'⚙ Parámetros'!C19*(X130-'⚙ Parámetros'!B19))),'⚙ Parámetros'!G19/(1+2^(-'⚙ Parámetros'!F19*(X130-'⚙ Parámetros'!E19))),1)*X130)/(30/100*MAX('⚙ Parámetros'!D19/(1+2^(-'⚙ Parámetros'!C19*(V130-'⚙ Parámetros'!B19))),'⚙ Parámetros'!G19/(1+2^(-'⚙ Parámetros'!F19*(V130-'⚙ Parámetros'!E19))),1)+35/100*MAX('⚙ Parámetros'!D19/(1+2^(-'⚙ Parámetros'!C19*(W130-'⚙ Parámetros'!B19))),'⚙ Parámetros'!G19/(1+2^(-'⚙ Parámetros'!F19*(W130-'⚙ Parámetros'!E19))),1)+35/100*MAX('⚙ Parámetros'!D19/(1+2^(-'⚙ Parámetros'!C19*(X130-'⚙ Parámetros'!B19))),'⚙ Parámetros'!G19/(1+2^(-'⚙ Parámetros'!F19*(X130-'⚙ Parámetros'!E19))),1)),0)</f>
        <v>5.7368421052631575</v>
      </c>
      <c r="AG130" s="89">
        <f>IFERROR((35/100*MAX('⚙ Parámetros'!D20/(1+2^(-'⚙ Parámetros'!C20*(Y130-'⚙ Parámetros'!B20))),'⚙ Parámetros'!G20/(1+2^(-'⚙ Parámetros'!F20*(Y130-'⚙ Parámetros'!E20))),1)*Y130+35/100*MAX('⚙ Parámetros'!D20/(1+2^(-'⚙ Parámetros'!C20*(Z130-'⚙ Parámetros'!B20))),'⚙ Parámetros'!G20/(1+2^(-'⚙ Parámetros'!F20*(Z130-'⚙ Parámetros'!E20))),1)*Z130+30/100*MAX('⚙ Parámetros'!D20/(1+2^(-'⚙ Parámetros'!C20*(AA130-'⚙ Parámetros'!B20))),'⚙ Parámetros'!G20/(1+2^(-'⚙ Parámetros'!F20*(AA130-'⚙ Parámetros'!E20))),1)*AA130)/(35/100*MAX('⚙ Parámetros'!D20/(1+2^(-'⚙ Parámetros'!C20*(Y130-'⚙ Parámetros'!B20))),'⚙ Parámetros'!G20/(1+2^(-'⚙ Parámetros'!F20*(Y130-'⚙ Parámetros'!E20))),1)+35/100*MAX('⚙ Parámetros'!D20/(1+2^(-'⚙ Parámetros'!C20*(Z130-'⚙ Parámetros'!B20))),'⚙ Parámetros'!G20/(1+2^(-'⚙ Parámetros'!F20*(Z130-'⚙ Parámetros'!E20))),1)+30/100*MAX('⚙ Parámetros'!D20/(1+2^(-'⚙ Parámetros'!C20*(AA130-'⚙ Parámetros'!B20))),'⚙ Parámetros'!G20/(1+2^(-'⚙ Parámetros'!F20*(AA130-'⚙ Parámetros'!E20))),1)),0)</f>
        <v>3.7272727272727275</v>
      </c>
      <c r="AH130" s="90">
        <f>('⚙ Parámetros'!B5/100*AB130+'⚙ Parámetros'!B6/100*AC130+'⚙ Parámetros'!B7/100*AD130+'⚙ Parámetros'!B8/100*AE130+'⚙ Parámetros'!B9/100*AF130+'⚙ Parámetros'!B10/100*AG130)</f>
        <v>2.2518660287081338</v>
      </c>
      <c r="AI130" s="91">
        <f ca="1">MIN(1+MAX(0,TODAY()-DATE(2026,2,12))/365*'⚙ Parámetros'!B33,'⚙ Parámetros'!B34)</f>
        <v>1.0493150684931507</v>
      </c>
      <c r="AJ130" s="82">
        <f t="shared" ca="1" si="6"/>
        <v>2.3629169561512748</v>
      </c>
      <c r="AK130" s="92" t="str">
        <f ca="1">IF(AB130&gt;='⚙ Parámetros'!B23,"⚑ AUTO-PRIOR.(D1≥8)",IF(AJ130&gt;='⚙ Parámetros'!B23,"PRIORITARIO",IF(AJ130&gt;='⚙ Parámetros'!B24,"ALTA PRIORIDAD",IF(AJ130&gt;='⚙ Parámetros'!B25,"PRIORIDAD MEDIA",IF(AJ130&gt;='⚙ Parámetros'!B26,"BAJA PRIORIDAD","DESCARTAR")))))</f>
        <v>DESCARTAR</v>
      </c>
      <c r="AL130" s="69" t="str">
        <f t="shared" si="7"/>
        <v>—</v>
      </c>
      <c r="AM130" s="85">
        <v>32</v>
      </c>
      <c r="AN130" s="83" t="str">
        <f>IF(AM130="","—",IF(AM130&lt;'⚙ Parámetros'!B29,"🟢 Corto",IF(AM130&lt;'⚙ Parámetros'!B30,"🟡 Medio","🔴 Largo")))</f>
        <v>🟡 Medio</v>
      </c>
    </row>
    <row r="131" spans="1:40" ht="18.75" customHeight="1" x14ac:dyDescent="0.25">
      <c r="A131" s="69">
        <v>127</v>
      </c>
      <c r="B131" s="70" t="s">
        <v>369</v>
      </c>
      <c r="C131" s="4" t="s">
        <v>135</v>
      </c>
      <c r="D131" s="71" t="s">
        <v>139</v>
      </c>
      <c r="E131" s="72" t="s">
        <v>326</v>
      </c>
      <c r="F131" s="74">
        <v>1</v>
      </c>
      <c r="G131" s="74">
        <v>1</v>
      </c>
      <c r="H131" s="74">
        <v>1</v>
      </c>
      <c r="I131" s="74">
        <v>1</v>
      </c>
      <c r="J131" s="74">
        <v>1</v>
      </c>
      <c r="K131" s="74">
        <v>1</v>
      </c>
      <c r="L131" s="74">
        <v>1</v>
      </c>
      <c r="M131" s="73">
        <v>3</v>
      </c>
      <c r="N131" s="74">
        <v>1</v>
      </c>
      <c r="O131" s="74">
        <v>1</v>
      </c>
      <c r="P131" s="74">
        <v>1</v>
      </c>
      <c r="Q131" s="74">
        <v>1</v>
      </c>
      <c r="R131" s="73">
        <v>5</v>
      </c>
      <c r="S131" s="73">
        <v>5</v>
      </c>
      <c r="T131" s="73">
        <v>5</v>
      </c>
      <c r="U131" s="73">
        <v>5</v>
      </c>
      <c r="V131" s="73">
        <v>5</v>
      </c>
      <c r="W131" s="73">
        <v>6</v>
      </c>
      <c r="X131" s="73">
        <v>6</v>
      </c>
      <c r="Y131" s="73">
        <v>4</v>
      </c>
      <c r="Z131" s="74">
        <v>2</v>
      </c>
      <c r="AA131" s="73">
        <v>5</v>
      </c>
      <c r="AB131" s="80">
        <f>IFERROR((30/100*MAX('⚙ Parámetros'!D15/(1+2^(-'⚙ Parámetros'!C15*(F131-'⚙ Parámetros'!B15))),'⚙ Parámetros'!G15/(1+2^(-'⚙ Parámetros'!F15*(F131-'⚙ Parámetros'!E15))),1)*F131+30/100*MAX('⚙ Parámetros'!D15/(1+2^(-'⚙ Parámetros'!C15*(G131-'⚙ Parámetros'!B15))),'⚙ Parámetros'!G15/(1+2^(-'⚙ Parámetros'!F15*(G131-'⚙ Parámetros'!E15))),1)*G131+20/100*MAX('⚙ Parámetros'!D15/(1+2^(-'⚙ Parámetros'!C15*(H131-'⚙ Parámetros'!B15))),'⚙ Parámetros'!G15/(1+2^(-'⚙ Parámetros'!F15*(H131-'⚙ Parámetros'!E15))),1)*H131+20/100*MAX('⚙ Parámetros'!D15/(1+2^(-'⚙ Parámetros'!C15*(I131-'⚙ Parámetros'!B15))),'⚙ Parámetros'!G15/(1+2^(-'⚙ Parámetros'!F15*(I131-'⚙ Parámetros'!E15))),1)*I131)/(30/100*MAX('⚙ Parámetros'!D15/(1+2^(-'⚙ Parámetros'!C15*(F131-'⚙ Parámetros'!B15))),'⚙ Parámetros'!G15/(1+2^(-'⚙ Parámetros'!F15*(F131-'⚙ Parámetros'!E15))),1)+30/100*MAX('⚙ Parámetros'!D15/(1+2^(-'⚙ Parámetros'!C15*(G131-'⚙ Parámetros'!B15))),'⚙ Parámetros'!G15/(1+2^(-'⚙ Parámetros'!F15*(G131-'⚙ Parámetros'!E15))),1)+20/100*MAX('⚙ Parámetros'!D15/(1+2^(-'⚙ Parámetros'!C15*(H131-'⚙ Parámetros'!B15))),'⚙ Parámetros'!G15/(1+2^(-'⚙ Parámetros'!F15*(H131-'⚙ Parámetros'!E15))),1)+20/100*MAX('⚙ Parámetros'!D15/(1+2^(-'⚙ Parámetros'!C15*(I131-'⚙ Parámetros'!B15))),'⚙ Parámetros'!G15/(1+2^(-'⚙ Parámetros'!F15*(I131-'⚙ Parámetros'!E15))),1)),0)</f>
        <v>1</v>
      </c>
      <c r="AC131" s="80">
        <f>IFERROR((35/100*MAX('⚙ Parámetros'!D16/(1+2^(-'⚙ Parámetros'!C16*(J131-'⚙ Parámetros'!B16))),'⚙ Parámetros'!G16/(1+2^(-'⚙ Parámetros'!F16*(J131-'⚙ Parámetros'!E16))),1)*J131+25/100*MAX('⚙ Parámetros'!D16/(1+2^(-'⚙ Parámetros'!C16*(K131-'⚙ Parámetros'!B16))),'⚙ Parámetros'!G16/(1+2^(-'⚙ Parámetros'!F16*(K131-'⚙ Parámetros'!E16))),1)*K131+20/100*MAX('⚙ Parámetros'!D16/(1+2^(-'⚙ Parámetros'!C16*(L131-'⚙ Parámetros'!B16))),'⚙ Parámetros'!G16/(1+2^(-'⚙ Parámetros'!F16*(L131-'⚙ Parámetros'!E16))),1)*L131+20/100*MAX('⚙ Parámetros'!D16/(1+2^(-'⚙ Parámetros'!C16*(M131-'⚙ Parámetros'!B16))),'⚙ Parámetros'!G16/(1+2^(-'⚙ Parámetros'!F16*(M131-'⚙ Parámetros'!E16))),1)*M131)/(35/100*MAX('⚙ Parámetros'!D16/(1+2^(-'⚙ Parámetros'!C16*(J131-'⚙ Parámetros'!B16))),'⚙ Parámetros'!G16/(1+2^(-'⚙ Parámetros'!F16*(J131-'⚙ Parámetros'!E16))),1)+25/100*MAX('⚙ Parámetros'!D16/(1+2^(-'⚙ Parámetros'!C16*(K131-'⚙ Parámetros'!B16))),'⚙ Parámetros'!G16/(1+2^(-'⚙ Parámetros'!F16*(K131-'⚙ Parámetros'!E16))),1)+20/100*MAX('⚙ Parámetros'!D16/(1+2^(-'⚙ Parámetros'!C16*(L131-'⚙ Parámetros'!B16))),'⚙ Parámetros'!G16/(1+2^(-'⚙ Parámetros'!F16*(L131-'⚙ Parámetros'!E16))),1)+20/100*MAX('⚙ Parámetros'!D16/(1+2^(-'⚙ Parámetros'!C16*(M131-'⚙ Parámetros'!B16))),'⚙ Parámetros'!G16/(1+2^(-'⚙ Parámetros'!F16*(M131-'⚙ Parámetros'!E16))),1)),0)</f>
        <v>1.4000000000000001</v>
      </c>
      <c r="AD131" s="80">
        <f>IFERROR((30/100*MAX('⚙ Parámetros'!D17/(1+2^(-'⚙ Parámetros'!C17*(N131-'⚙ Parámetros'!B17))),'⚙ Parámetros'!G17/(1+2^(-'⚙ Parámetros'!F17*(N131-'⚙ Parámetros'!E17))),1)*N131+25/100*MAX('⚙ Parámetros'!D17/(1+2^(-'⚙ Parámetros'!C17*(O131-'⚙ Parámetros'!B17))),'⚙ Parámetros'!G17/(1+2^(-'⚙ Parámetros'!F17*(O131-'⚙ Parámetros'!E17))),1)*O131+25/100*MAX('⚙ Parámetros'!D17/(1+2^(-'⚙ Parámetros'!C17*(P131-'⚙ Parámetros'!B17))),'⚙ Parámetros'!G17/(1+2^(-'⚙ Parámetros'!F17*(P131-'⚙ Parámetros'!E17))),1)*P131+20/100*MAX('⚙ Parámetros'!D17/(1+2^(-'⚙ Parámetros'!C17*(Q131-'⚙ Parámetros'!B17))),'⚙ Parámetros'!G17/(1+2^(-'⚙ Parámetros'!F17*(Q131-'⚙ Parámetros'!E17))),1)*Q131)/(30/100*MAX('⚙ Parámetros'!D17/(1+2^(-'⚙ Parámetros'!C17*(N131-'⚙ Parámetros'!B17))),'⚙ Parámetros'!G17/(1+2^(-'⚙ Parámetros'!F17*(N131-'⚙ Parámetros'!E17))),1)+25/100*MAX('⚙ Parámetros'!D17/(1+2^(-'⚙ Parámetros'!C17*(O131-'⚙ Parámetros'!B17))),'⚙ Parámetros'!G17/(1+2^(-'⚙ Parámetros'!F17*(O131-'⚙ Parámetros'!E17))),1)+25/100*MAX('⚙ Parámetros'!D17/(1+2^(-'⚙ Parámetros'!C17*(P131-'⚙ Parámetros'!B17))),'⚙ Parámetros'!G17/(1+2^(-'⚙ Parámetros'!F17*(P131-'⚙ Parámetros'!E17))),1)+20/100*MAX('⚙ Parámetros'!D17/(1+2^(-'⚙ Parámetros'!C17*(Q131-'⚙ Parámetros'!B17))),'⚙ Parámetros'!G17/(1+2^(-'⚙ Parámetros'!F17*(Q131-'⚙ Parámetros'!E17))),1)),0)</f>
        <v>1</v>
      </c>
      <c r="AE131" s="80">
        <f>IFERROR((30/100*MAX('⚙ Parámetros'!D18/(1+2^(-'⚙ Parámetros'!C18*(R131-'⚙ Parámetros'!B18))),'⚙ Parámetros'!G18/(1+2^(-'⚙ Parámetros'!F18*(R131-'⚙ Parámetros'!E18))),1)*R131+30/100*MAX('⚙ Parámetros'!D18/(1+2^(-'⚙ Parámetros'!C18*(S131-'⚙ Parámetros'!B18))),'⚙ Parámetros'!G18/(1+2^(-'⚙ Parámetros'!F18*(S131-'⚙ Parámetros'!E18))),1)*S131+20/100*MAX('⚙ Parámetros'!D18/(1+2^(-'⚙ Parámetros'!C18*(T131-'⚙ Parámetros'!B18))),'⚙ Parámetros'!G18/(1+2^(-'⚙ Parámetros'!F18*(T131-'⚙ Parámetros'!E18))),1)*T131+20/100*MAX('⚙ Parámetros'!D18/(1+2^(-'⚙ Parámetros'!C18*(U131-'⚙ Parámetros'!B18))),'⚙ Parámetros'!G18/(1+2^(-'⚙ Parámetros'!F18*(U131-'⚙ Parámetros'!E18))),1)*U131)/(30/100*MAX('⚙ Parámetros'!D18/(1+2^(-'⚙ Parámetros'!C18*(R131-'⚙ Parámetros'!B18))),'⚙ Parámetros'!G18/(1+2^(-'⚙ Parámetros'!F18*(R131-'⚙ Parámetros'!E18))),1)+30/100*MAX('⚙ Parámetros'!D18/(1+2^(-'⚙ Parámetros'!C18*(S131-'⚙ Parámetros'!B18))),'⚙ Parámetros'!G18/(1+2^(-'⚙ Parámetros'!F18*(S131-'⚙ Parámetros'!E18))),1)+20/100*MAX('⚙ Parámetros'!D18/(1+2^(-'⚙ Parámetros'!C18*(T131-'⚙ Parámetros'!B18))),'⚙ Parámetros'!G18/(1+2^(-'⚙ Parámetros'!F18*(T131-'⚙ Parámetros'!E18))),1)+20/100*MAX('⚙ Parámetros'!D18/(1+2^(-'⚙ Parámetros'!C18*(U131-'⚙ Parámetros'!B18))),'⚙ Parámetros'!G18/(1+2^(-'⚙ Parámetros'!F18*(U131-'⚙ Parámetros'!E18))),1)),0)</f>
        <v>5</v>
      </c>
      <c r="AF131" s="80">
        <f>IFERROR((30/100*MAX('⚙ Parámetros'!D19/(1+2^(-'⚙ Parámetros'!C19*(V131-'⚙ Parámetros'!B19))),'⚙ Parámetros'!G19/(1+2^(-'⚙ Parámetros'!F19*(V131-'⚙ Parámetros'!E19))),1)*V131+35/100*MAX('⚙ Parámetros'!D19/(1+2^(-'⚙ Parámetros'!C19*(W131-'⚙ Parámetros'!B19))),'⚙ Parámetros'!G19/(1+2^(-'⚙ Parámetros'!F19*(W131-'⚙ Parámetros'!E19))),1)*W131+35/100*MAX('⚙ Parámetros'!D19/(1+2^(-'⚙ Parámetros'!C19*(X131-'⚙ Parámetros'!B19))),'⚙ Parámetros'!G19/(1+2^(-'⚙ Parámetros'!F19*(X131-'⚙ Parámetros'!E19))),1)*X131)/(30/100*MAX('⚙ Parámetros'!D19/(1+2^(-'⚙ Parámetros'!C19*(V131-'⚙ Parámetros'!B19))),'⚙ Parámetros'!G19/(1+2^(-'⚙ Parámetros'!F19*(V131-'⚙ Parámetros'!E19))),1)+35/100*MAX('⚙ Parámetros'!D19/(1+2^(-'⚙ Parámetros'!C19*(W131-'⚙ Parámetros'!B19))),'⚙ Parámetros'!G19/(1+2^(-'⚙ Parámetros'!F19*(W131-'⚙ Parámetros'!E19))),1)+35/100*MAX('⚙ Parámetros'!D19/(1+2^(-'⚙ Parámetros'!C19*(X131-'⚙ Parámetros'!B19))),'⚙ Parámetros'!G19/(1+2^(-'⚙ Parámetros'!F19*(X131-'⚙ Parámetros'!E19))),1)),0)</f>
        <v>5.7368421052631575</v>
      </c>
      <c r="AG131" s="80">
        <f>IFERROR((35/100*MAX('⚙ Parámetros'!D20/(1+2^(-'⚙ Parámetros'!C20*(Y131-'⚙ Parámetros'!B20))),'⚙ Parámetros'!G20/(1+2^(-'⚙ Parámetros'!F20*(Y131-'⚙ Parámetros'!E20))),1)*Y131+35/100*MAX('⚙ Parámetros'!D20/(1+2^(-'⚙ Parámetros'!C20*(Z131-'⚙ Parámetros'!B20))),'⚙ Parámetros'!G20/(1+2^(-'⚙ Parámetros'!F20*(Z131-'⚙ Parámetros'!E20))),1)*Z131+30/100*MAX('⚙ Parámetros'!D20/(1+2^(-'⚙ Parámetros'!C20*(AA131-'⚙ Parámetros'!B20))),'⚙ Parámetros'!G20/(1+2^(-'⚙ Parámetros'!F20*(AA131-'⚙ Parámetros'!E20))),1)*AA131)/(35/100*MAX('⚙ Parámetros'!D20/(1+2^(-'⚙ Parámetros'!C20*(Y131-'⚙ Parámetros'!B20))),'⚙ Parámetros'!G20/(1+2^(-'⚙ Parámetros'!F20*(Y131-'⚙ Parámetros'!E20))),1)+35/100*MAX('⚙ Parámetros'!D20/(1+2^(-'⚙ Parámetros'!C20*(Z131-'⚙ Parámetros'!B20))),'⚙ Parámetros'!G20/(1+2^(-'⚙ Parámetros'!F20*(Z131-'⚙ Parámetros'!E20))),1)+30/100*MAX('⚙ Parámetros'!D20/(1+2^(-'⚙ Parámetros'!C20*(AA131-'⚙ Parámetros'!B20))),'⚙ Parámetros'!G20/(1+2^(-'⚙ Parámetros'!F20*(AA131-'⚙ Parámetros'!E20))),1)),0)</f>
        <v>3.7272727272727275</v>
      </c>
      <c r="AH131" s="81">
        <f>('⚙ Parámetros'!B5/100*AB131+'⚙ Parámetros'!B6/100*AC131+'⚙ Parámetros'!B7/100*AD131+'⚙ Parámetros'!B8/100*AE131+'⚙ Parámetros'!B9/100*AF131+'⚙ Parámetros'!B10/100*AG131)</f>
        <v>2.2518660287081338</v>
      </c>
      <c r="AI131" s="33">
        <f ca="1">MIN(1+MAX(0,TODAY()-DATE(2026,2,12))/365*'⚙ Parámetros'!B33,'⚙ Parámetros'!B34)</f>
        <v>1.0493150684931507</v>
      </c>
      <c r="AJ131" s="82">
        <f t="shared" ca="1" si="6"/>
        <v>2.3629169561512748</v>
      </c>
      <c r="AK131" s="83" t="str">
        <f ca="1">IF(AB131&gt;='⚙ Parámetros'!B23,"⚑ AUTO-PRIOR.(D1≥8)",IF(AJ131&gt;='⚙ Parámetros'!B23,"PRIORITARIO",IF(AJ131&gt;='⚙ Parámetros'!B24,"ALTA PRIORIDAD",IF(AJ131&gt;='⚙ Parámetros'!B25,"PRIORIDAD MEDIA",IF(AJ131&gt;='⚙ Parámetros'!B26,"BAJA PRIORIDAD","DESCARTAR")))))</f>
        <v>DESCARTAR</v>
      </c>
      <c r="AL131" s="84" t="str">
        <f t="shared" si="7"/>
        <v>—</v>
      </c>
      <c r="AM131" s="85">
        <v>29</v>
      </c>
      <c r="AN131" s="83" t="str">
        <f>IF(AM131="","—",IF(AM131&lt;'⚙ Parámetros'!B29,"🟢 Corto",IF(AM131&lt;'⚙ Parámetros'!B30,"🟡 Medio","🔴 Largo")))</f>
        <v>🟢 Corto</v>
      </c>
    </row>
    <row r="132" spans="1:40" ht="18.75" customHeight="1" x14ac:dyDescent="0.25">
      <c r="A132" s="69">
        <v>128</v>
      </c>
      <c r="B132" s="30" t="s">
        <v>370</v>
      </c>
      <c r="C132" s="26" t="s">
        <v>135</v>
      </c>
      <c r="D132" s="71" t="s">
        <v>139</v>
      </c>
      <c r="E132" s="72" t="s">
        <v>326</v>
      </c>
      <c r="F132" s="74">
        <v>1</v>
      </c>
      <c r="G132" s="74">
        <v>1</v>
      </c>
      <c r="H132" s="74">
        <v>1</v>
      </c>
      <c r="I132" s="74">
        <v>1</v>
      </c>
      <c r="J132" s="74">
        <v>1</v>
      </c>
      <c r="K132" s="74">
        <v>1</v>
      </c>
      <c r="L132" s="74">
        <v>1</v>
      </c>
      <c r="M132" s="86">
        <v>3</v>
      </c>
      <c r="N132" s="74">
        <v>1</v>
      </c>
      <c r="O132" s="74">
        <v>1</v>
      </c>
      <c r="P132" s="74">
        <v>1</v>
      </c>
      <c r="Q132" s="74">
        <v>1</v>
      </c>
      <c r="R132" s="86">
        <v>5</v>
      </c>
      <c r="S132" s="86">
        <v>5</v>
      </c>
      <c r="T132" s="86">
        <v>5</v>
      </c>
      <c r="U132" s="86">
        <v>5</v>
      </c>
      <c r="V132" s="86">
        <v>5</v>
      </c>
      <c r="W132" s="86">
        <v>6</v>
      </c>
      <c r="X132" s="86">
        <v>6</v>
      </c>
      <c r="Y132" s="86">
        <v>4</v>
      </c>
      <c r="Z132" s="74">
        <v>2</v>
      </c>
      <c r="AA132" s="86">
        <v>5</v>
      </c>
      <c r="AB132" s="89">
        <f>IFERROR((30/100*MAX('⚙ Parámetros'!D15/(1+2^(-'⚙ Parámetros'!C15*(F132-'⚙ Parámetros'!B15))),'⚙ Parámetros'!G15/(1+2^(-'⚙ Parámetros'!F15*(F132-'⚙ Parámetros'!E15))),1)*F132+30/100*MAX('⚙ Parámetros'!D15/(1+2^(-'⚙ Parámetros'!C15*(G132-'⚙ Parámetros'!B15))),'⚙ Parámetros'!G15/(1+2^(-'⚙ Parámetros'!F15*(G132-'⚙ Parámetros'!E15))),1)*G132+20/100*MAX('⚙ Parámetros'!D15/(1+2^(-'⚙ Parámetros'!C15*(H132-'⚙ Parámetros'!B15))),'⚙ Parámetros'!G15/(1+2^(-'⚙ Parámetros'!F15*(H132-'⚙ Parámetros'!E15))),1)*H132+20/100*MAX('⚙ Parámetros'!D15/(1+2^(-'⚙ Parámetros'!C15*(I132-'⚙ Parámetros'!B15))),'⚙ Parámetros'!G15/(1+2^(-'⚙ Parámetros'!F15*(I132-'⚙ Parámetros'!E15))),1)*I132)/(30/100*MAX('⚙ Parámetros'!D15/(1+2^(-'⚙ Parámetros'!C15*(F132-'⚙ Parámetros'!B15))),'⚙ Parámetros'!G15/(1+2^(-'⚙ Parámetros'!F15*(F132-'⚙ Parámetros'!E15))),1)+30/100*MAX('⚙ Parámetros'!D15/(1+2^(-'⚙ Parámetros'!C15*(G132-'⚙ Parámetros'!B15))),'⚙ Parámetros'!G15/(1+2^(-'⚙ Parámetros'!F15*(G132-'⚙ Parámetros'!E15))),1)+20/100*MAX('⚙ Parámetros'!D15/(1+2^(-'⚙ Parámetros'!C15*(H132-'⚙ Parámetros'!B15))),'⚙ Parámetros'!G15/(1+2^(-'⚙ Parámetros'!F15*(H132-'⚙ Parámetros'!E15))),1)+20/100*MAX('⚙ Parámetros'!D15/(1+2^(-'⚙ Parámetros'!C15*(I132-'⚙ Parámetros'!B15))),'⚙ Parámetros'!G15/(1+2^(-'⚙ Parámetros'!F15*(I132-'⚙ Parámetros'!E15))),1)),0)</f>
        <v>1</v>
      </c>
      <c r="AC132" s="89">
        <f>IFERROR((35/100*MAX('⚙ Parámetros'!D16/(1+2^(-'⚙ Parámetros'!C16*(J132-'⚙ Parámetros'!B16))),'⚙ Parámetros'!G16/(1+2^(-'⚙ Parámetros'!F16*(J132-'⚙ Parámetros'!E16))),1)*J132+25/100*MAX('⚙ Parámetros'!D16/(1+2^(-'⚙ Parámetros'!C16*(K132-'⚙ Parámetros'!B16))),'⚙ Parámetros'!G16/(1+2^(-'⚙ Parámetros'!F16*(K132-'⚙ Parámetros'!E16))),1)*K132+20/100*MAX('⚙ Parámetros'!D16/(1+2^(-'⚙ Parámetros'!C16*(L132-'⚙ Parámetros'!B16))),'⚙ Parámetros'!G16/(1+2^(-'⚙ Parámetros'!F16*(L132-'⚙ Parámetros'!E16))),1)*L132+20/100*MAX('⚙ Parámetros'!D16/(1+2^(-'⚙ Parámetros'!C16*(M132-'⚙ Parámetros'!B16))),'⚙ Parámetros'!G16/(1+2^(-'⚙ Parámetros'!F16*(M132-'⚙ Parámetros'!E16))),1)*M132)/(35/100*MAX('⚙ Parámetros'!D16/(1+2^(-'⚙ Parámetros'!C16*(J132-'⚙ Parámetros'!B16))),'⚙ Parámetros'!G16/(1+2^(-'⚙ Parámetros'!F16*(J132-'⚙ Parámetros'!E16))),1)+25/100*MAX('⚙ Parámetros'!D16/(1+2^(-'⚙ Parámetros'!C16*(K132-'⚙ Parámetros'!B16))),'⚙ Parámetros'!G16/(1+2^(-'⚙ Parámetros'!F16*(K132-'⚙ Parámetros'!E16))),1)+20/100*MAX('⚙ Parámetros'!D16/(1+2^(-'⚙ Parámetros'!C16*(L132-'⚙ Parámetros'!B16))),'⚙ Parámetros'!G16/(1+2^(-'⚙ Parámetros'!F16*(L132-'⚙ Parámetros'!E16))),1)+20/100*MAX('⚙ Parámetros'!D16/(1+2^(-'⚙ Parámetros'!C16*(M132-'⚙ Parámetros'!B16))),'⚙ Parámetros'!G16/(1+2^(-'⚙ Parámetros'!F16*(M132-'⚙ Parámetros'!E16))),1)),0)</f>
        <v>1.4000000000000001</v>
      </c>
      <c r="AD132" s="89">
        <f>IFERROR((30/100*MAX('⚙ Parámetros'!D17/(1+2^(-'⚙ Parámetros'!C17*(N132-'⚙ Parámetros'!B17))),'⚙ Parámetros'!G17/(1+2^(-'⚙ Parámetros'!F17*(N132-'⚙ Parámetros'!E17))),1)*N132+25/100*MAX('⚙ Parámetros'!D17/(1+2^(-'⚙ Parámetros'!C17*(O132-'⚙ Parámetros'!B17))),'⚙ Parámetros'!G17/(1+2^(-'⚙ Parámetros'!F17*(O132-'⚙ Parámetros'!E17))),1)*O132+25/100*MAX('⚙ Parámetros'!D17/(1+2^(-'⚙ Parámetros'!C17*(P132-'⚙ Parámetros'!B17))),'⚙ Parámetros'!G17/(1+2^(-'⚙ Parámetros'!F17*(P132-'⚙ Parámetros'!E17))),1)*P132+20/100*MAX('⚙ Parámetros'!D17/(1+2^(-'⚙ Parámetros'!C17*(Q132-'⚙ Parámetros'!B17))),'⚙ Parámetros'!G17/(1+2^(-'⚙ Parámetros'!F17*(Q132-'⚙ Parámetros'!E17))),1)*Q132)/(30/100*MAX('⚙ Parámetros'!D17/(1+2^(-'⚙ Parámetros'!C17*(N132-'⚙ Parámetros'!B17))),'⚙ Parámetros'!G17/(1+2^(-'⚙ Parámetros'!F17*(N132-'⚙ Parámetros'!E17))),1)+25/100*MAX('⚙ Parámetros'!D17/(1+2^(-'⚙ Parámetros'!C17*(O132-'⚙ Parámetros'!B17))),'⚙ Parámetros'!G17/(1+2^(-'⚙ Parámetros'!F17*(O132-'⚙ Parámetros'!E17))),1)+25/100*MAX('⚙ Parámetros'!D17/(1+2^(-'⚙ Parámetros'!C17*(P132-'⚙ Parámetros'!B17))),'⚙ Parámetros'!G17/(1+2^(-'⚙ Parámetros'!F17*(P132-'⚙ Parámetros'!E17))),1)+20/100*MAX('⚙ Parámetros'!D17/(1+2^(-'⚙ Parámetros'!C17*(Q132-'⚙ Parámetros'!B17))),'⚙ Parámetros'!G17/(1+2^(-'⚙ Parámetros'!F17*(Q132-'⚙ Parámetros'!E17))),1)),0)</f>
        <v>1</v>
      </c>
      <c r="AE132" s="89">
        <f>IFERROR((30/100*MAX('⚙ Parámetros'!D18/(1+2^(-'⚙ Parámetros'!C18*(R132-'⚙ Parámetros'!B18))),'⚙ Parámetros'!G18/(1+2^(-'⚙ Parámetros'!F18*(R132-'⚙ Parámetros'!E18))),1)*R132+30/100*MAX('⚙ Parámetros'!D18/(1+2^(-'⚙ Parámetros'!C18*(S132-'⚙ Parámetros'!B18))),'⚙ Parámetros'!G18/(1+2^(-'⚙ Parámetros'!F18*(S132-'⚙ Parámetros'!E18))),1)*S132+20/100*MAX('⚙ Parámetros'!D18/(1+2^(-'⚙ Parámetros'!C18*(T132-'⚙ Parámetros'!B18))),'⚙ Parámetros'!G18/(1+2^(-'⚙ Parámetros'!F18*(T132-'⚙ Parámetros'!E18))),1)*T132+20/100*MAX('⚙ Parámetros'!D18/(1+2^(-'⚙ Parámetros'!C18*(U132-'⚙ Parámetros'!B18))),'⚙ Parámetros'!G18/(1+2^(-'⚙ Parámetros'!F18*(U132-'⚙ Parámetros'!E18))),1)*U132)/(30/100*MAX('⚙ Parámetros'!D18/(1+2^(-'⚙ Parámetros'!C18*(R132-'⚙ Parámetros'!B18))),'⚙ Parámetros'!G18/(1+2^(-'⚙ Parámetros'!F18*(R132-'⚙ Parámetros'!E18))),1)+30/100*MAX('⚙ Parámetros'!D18/(1+2^(-'⚙ Parámetros'!C18*(S132-'⚙ Parámetros'!B18))),'⚙ Parámetros'!G18/(1+2^(-'⚙ Parámetros'!F18*(S132-'⚙ Parámetros'!E18))),1)+20/100*MAX('⚙ Parámetros'!D18/(1+2^(-'⚙ Parámetros'!C18*(T132-'⚙ Parámetros'!B18))),'⚙ Parámetros'!G18/(1+2^(-'⚙ Parámetros'!F18*(T132-'⚙ Parámetros'!E18))),1)+20/100*MAX('⚙ Parámetros'!D18/(1+2^(-'⚙ Parámetros'!C18*(U132-'⚙ Parámetros'!B18))),'⚙ Parámetros'!G18/(1+2^(-'⚙ Parámetros'!F18*(U132-'⚙ Parámetros'!E18))),1)),0)</f>
        <v>5</v>
      </c>
      <c r="AF132" s="89">
        <f>IFERROR((30/100*MAX('⚙ Parámetros'!D19/(1+2^(-'⚙ Parámetros'!C19*(V132-'⚙ Parámetros'!B19))),'⚙ Parámetros'!G19/(1+2^(-'⚙ Parámetros'!F19*(V132-'⚙ Parámetros'!E19))),1)*V132+35/100*MAX('⚙ Parámetros'!D19/(1+2^(-'⚙ Parámetros'!C19*(W132-'⚙ Parámetros'!B19))),'⚙ Parámetros'!G19/(1+2^(-'⚙ Parámetros'!F19*(W132-'⚙ Parámetros'!E19))),1)*W132+35/100*MAX('⚙ Parámetros'!D19/(1+2^(-'⚙ Parámetros'!C19*(X132-'⚙ Parámetros'!B19))),'⚙ Parámetros'!G19/(1+2^(-'⚙ Parámetros'!F19*(X132-'⚙ Parámetros'!E19))),1)*X132)/(30/100*MAX('⚙ Parámetros'!D19/(1+2^(-'⚙ Parámetros'!C19*(V132-'⚙ Parámetros'!B19))),'⚙ Parámetros'!G19/(1+2^(-'⚙ Parámetros'!F19*(V132-'⚙ Parámetros'!E19))),1)+35/100*MAX('⚙ Parámetros'!D19/(1+2^(-'⚙ Parámetros'!C19*(W132-'⚙ Parámetros'!B19))),'⚙ Parámetros'!G19/(1+2^(-'⚙ Parámetros'!F19*(W132-'⚙ Parámetros'!E19))),1)+35/100*MAX('⚙ Parámetros'!D19/(1+2^(-'⚙ Parámetros'!C19*(X132-'⚙ Parámetros'!B19))),'⚙ Parámetros'!G19/(1+2^(-'⚙ Parámetros'!F19*(X132-'⚙ Parámetros'!E19))),1)),0)</f>
        <v>5.7368421052631575</v>
      </c>
      <c r="AG132" s="89">
        <f>IFERROR((35/100*MAX('⚙ Parámetros'!D20/(1+2^(-'⚙ Parámetros'!C20*(Y132-'⚙ Parámetros'!B20))),'⚙ Parámetros'!G20/(1+2^(-'⚙ Parámetros'!F20*(Y132-'⚙ Parámetros'!E20))),1)*Y132+35/100*MAX('⚙ Parámetros'!D20/(1+2^(-'⚙ Parámetros'!C20*(Z132-'⚙ Parámetros'!B20))),'⚙ Parámetros'!G20/(1+2^(-'⚙ Parámetros'!F20*(Z132-'⚙ Parámetros'!E20))),1)*Z132+30/100*MAX('⚙ Parámetros'!D20/(1+2^(-'⚙ Parámetros'!C20*(AA132-'⚙ Parámetros'!B20))),'⚙ Parámetros'!G20/(1+2^(-'⚙ Parámetros'!F20*(AA132-'⚙ Parámetros'!E20))),1)*AA132)/(35/100*MAX('⚙ Parámetros'!D20/(1+2^(-'⚙ Parámetros'!C20*(Y132-'⚙ Parámetros'!B20))),'⚙ Parámetros'!G20/(1+2^(-'⚙ Parámetros'!F20*(Y132-'⚙ Parámetros'!E20))),1)+35/100*MAX('⚙ Parámetros'!D20/(1+2^(-'⚙ Parámetros'!C20*(Z132-'⚙ Parámetros'!B20))),'⚙ Parámetros'!G20/(1+2^(-'⚙ Parámetros'!F20*(Z132-'⚙ Parámetros'!E20))),1)+30/100*MAX('⚙ Parámetros'!D20/(1+2^(-'⚙ Parámetros'!C20*(AA132-'⚙ Parámetros'!B20))),'⚙ Parámetros'!G20/(1+2^(-'⚙ Parámetros'!F20*(AA132-'⚙ Parámetros'!E20))),1)),0)</f>
        <v>3.7272727272727275</v>
      </c>
      <c r="AH132" s="90">
        <f>('⚙ Parámetros'!B5/100*AB132+'⚙ Parámetros'!B6/100*AC132+'⚙ Parámetros'!B7/100*AD132+'⚙ Parámetros'!B8/100*AE132+'⚙ Parámetros'!B9/100*AF132+'⚙ Parámetros'!B10/100*AG132)</f>
        <v>2.2518660287081338</v>
      </c>
      <c r="AI132" s="91">
        <f ca="1">MIN(1+MAX(0,TODAY()-DATE(2026,2,12))/365*'⚙ Parámetros'!B33,'⚙ Parámetros'!B34)</f>
        <v>1.0493150684931507</v>
      </c>
      <c r="AJ132" s="82">
        <f t="shared" ca="1" si="6"/>
        <v>2.3629169561512748</v>
      </c>
      <c r="AK132" s="92" t="str">
        <f ca="1">IF(AB132&gt;='⚙ Parámetros'!B23,"⚑ AUTO-PRIOR.(D1≥8)",IF(AJ132&gt;='⚙ Parámetros'!B23,"PRIORITARIO",IF(AJ132&gt;='⚙ Parámetros'!B24,"ALTA PRIORIDAD",IF(AJ132&gt;='⚙ Parámetros'!B25,"PRIORIDAD MEDIA",IF(AJ132&gt;='⚙ Parámetros'!B26,"BAJA PRIORIDAD","DESCARTAR")))))</f>
        <v>DESCARTAR</v>
      </c>
      <c r="AL132" s="69" t="str">
        <f t="shared" si="7"/>
        <v>—</v>
      </c>
      <c r="AM132" s="85">
        <v>11</v>
      </c>
      <c r="AN132" s="83" t="str">
        <f>IF(AM132="","—",IF(AM132&lt;'⚙ Parámetros'!B29,"🟢 Corto",IF(AM132&lt;'⚙ Parámetros'!B30,"🟡 Medio","🔴 Largo")))</f>
        <v>🟢 Corto</v>
      </c>
    </row>
    <row r="133" spans="1:40" ht="18.75" customHeight="1" x14ac:dyDescent="0.25">
      <c r="A133" s="69">
        <v>129</v>
      </c>
      <c r="B133" s="70" t="s">
        <v>371</v>
      </c>
      <c r="C133" s="4" t="s">
        <v>135</v>
      </c>
      <c r="D133" s="71" t="s">
        <v>139</v>
      </c>
      <c r="E133" s="72" t="s">
        <v>326</v>
      </c>
      <c r="F133" s="74">
        <v>1</v>
      </c>
      <c r="G133" s="74">
        <v>1</v>
      </c>
      <c r="H133" s="74">
        <v>1</v>
      </c>
      <c r="I133" s="74">
        <v>1</v>
      </c>
      <c r="J133" s="74">
        <v>1</v>
      </c>
      <c r="K133" s="74">
        <v>1</v>
      </c>
      <c r="L133" s="74">
        <v>1</v>
      </c>
      <c r="M133" s="73">
        <v>3</v>
      </c>
      <c r="N133" s="74">
        <v>1</v>
      </c>
      <c r="O133" s="74">
        <v>1</v>
      </c>
      <c r="P133" s="74">
        <v>1</v>
      </c>
      <c r="Q133" s="74">
        <v>1</v>
      </c>
      <c r="R133" s="73">
        <v>5</v>
      </c>
      <c r="S133" s="73">
        <v>5</v>
      </c>
      <c r="T133" s="73">
        <v>5</v>
      </c>
      <c r="U133" s="73">
        <v>5</v>
      </c>
      <c r="V133" s="73">
        <v>5</v>
      </c>
      <c r="W133" s="73">
        <v>6</v>
      </c>
      <c r="X133" s="73">
        <v>6</v>
      </c>
      <c r="Y133" s="73">
        <v>4</v>
      </c>
      <c r="Z133" s="74">
        <v>2</v>
      </c>
      <c r="AA133" s="73">
        <v>5</v>
      </c>
      <c r="AB133" s="80">
        <f>IFERROR((30/100*MAX('⚙ Parámetros'!D15/(1+2^(-'⚙ Parámetros'!C15*(F133-'⚙ Parámetros'!B15))),'⚙ Parámetros'!G15/(1+2^(-'⚙ Parámetros'!F15*(F133-'⚙ Parámetros'!E15))),1)*F133+30/100*MAX('⚙ Parámetros'!D15/(1+2^(-'⚙ Parámetros'!C15*(G133-'⚙ Parámetros'!B15))),'⚙ Parámetros'!G15/(1+2^(-'⚙ Parámetros'!F15*(G133-'⚙ Parámetros'!E15))),1)*G133+20/100*MAX('⚙ Parámetros'!D15/(1+2^(-'⚙ Parámetros'!C15*(H133-'⚙ Parámetros'!B15))),'⚙ Parámetros'!G15/(1+2^(-'⚙ Parámetros'!F15*(H133-'⚙ Parámetros'!E15))),1)*H133+20/100*MAX('⚙ Parámetros'!D15/(1+2^(-'⚙ Parámetros'!C15*(I133-'⚙ Parámetros'!B15))),'⚙ Parámetros'!G15/(1+2^(-'⚙ Parámetros'!F15*(I133-'⚙ Parámetros'!E15))),1)*I133)/(30/100*MAX('⚙ Parámetros'!D15/(1+2^(-'⚙ Parámetros'!C15*(F133-'⚙ Parámetros'!B15))),'⚙ Parámetros'!G15/(1+2^(-'⚙ Parámetros'!F15*(F133-'⚙ Parámetros'!E15))),1)+30/100*MAX('⚙ Parámetros'!D15/(1+2^(-'⚙ Parámetros'!C15*(G133-'⚙ Parámetros'!B15))),'⚙ Parámetros'!G15/(1+2^(-'⚙ Parámetros'!F15*(G133-'⚙ Parámetros'!E15))),1)+20/100*MAX('⚙ Parámetros'!D15/(1+2^(-'⚙ Parámetros'!C15*(H133-'⚙ Parámetros'!B15))),'⚙ Parámetros'!G15/(1+2^(-'⚙ Parámetros'!F15*(H133-'⚙ Parámetros'!E15))),1)+20/100*MAX('⚙ Parámetros'!D15/(1+2^(-'⚙ Parámetros'!C15*(I133-'⚙ Parámetros'!B15))),'⚙ Parámetros'!G15/(1+2^(-'⚙ Parámetros'!F15*(I133-'⚙ Parámetros'!E15))),1)),0)</f>
        <v>1</v>
      </c>
      <c r="AC133" s="80">
        <f>IFERROR((35/100*MAX('⚙ Parámetros'!D16/(1+2^(-'⚙ Parámetros'!C16*(J133-'⚙ Parámetros'!B16))),'⚙ Parámetros'!G16/(1+2^(-'⚙ Parámetros'!F16*(J133-'⚙ Parámetros'!E16))),1)*J133+25/100*MAX('⚙ Parámetros'!D16/(1+2^(-'⚙ Parámetros'!C16*(K133-'⚙ Parámetros'!B16))),'⚙ Parámetros'!G16/(1+2^(-'⚙ Parámetros'!F16*(K133-'⚙ Parámetros'!E16))),1)*K133+20/100*MAX('⚙ Parámetros'!D16/(1+2^(-'⚙ Parámetros'!C16*(L133-'⚙ Parámetros'!B16))),'⚙ Parámetros'!G16/(1+2^(-'⚙ Parámetros'!F16*(L133-'⚙ Parámetros'!E16))),1)*L133+20/100*MAX('⚙ Parámetros'!D16/(1+2^(-'⚙ Parámetros'!C16*(M133-'⚙ Parámetros'!B16))),'⚙ Parámetros'!G16/(1+2^(-'⚙ Parámetros'!F16*(M133-'⚙ Parámetros'!E16))),1)*M133)/(35/100*MAX('⚙ Parámetros'!D16/(1+2^(-'⚙ Parámetros'!C16*(J133-'⚙ Parámetros'!B16))),'⚙ Parámetros'!G16/(1+2^(-'⚙ Parámetros'!F16*(J133-'⚙ Parámetros'!E16))),1)+25/100*MAX('⚙ Parámetros'!D16/(1+2^(-'⚙ Parámetros'!C16*(K133-'⚙ Parámetros'!B16))),'⚙ Parámetros'!G16/(1+2^(-'⚙ Parámetros'!F16*(K133-'⚙ Parámetros'!E16))),1)+20/100*MAX('⚙ Parámetros'!D16/(1+2^(-'⚙ Parámetros'!C16*(L133-'⚙ Parámetros'!B16))),'⚙ Parámetros'!G16/(1+2^(-'⚙ Parámetros'!F16*(L133-'⚙ Parámetros'!E16))),1)+20/100*MAX('⚙ Parámetros'!D16/(1+2^(-'⚙ Parámetros'!C16*(M133-'⚙ Parámetros'!B16))),'⚙ Parámetros'!G16/(1+2^(-'⚙ Parámetros'!F16*(M133-'⚙ Parámetros'!E16))),1)),0)</f>
        <v>1.4000000000000001</v>
      </c>
      <c r="AD133" s="80">
        <f>IFERROR((30/100*MAX('⚙ Parámetros'!D17/(1+2^(-'⚙ Parámetros'!C17*(N133-'⚙ Parámetros'!B17))),'⚙ Parámetros'!G17/(1+2^(-'⚙ Parámetros'!F17*(N133-'⚙ Parámetros'!E17))),1)*N133+25/100*MAX('⚙ Parámetros'!D17/(1+2^(-'⚙ Parámetros'!C17*(O133-'⚙ Parámetros'!B17))),'⚙ Parámetros'!G17/(1+2^(-'⚙ Parámetros'!F17*(O133-'⚙ Parámetros'!E17))),1)*O133+25/100*MAX('⚙ Parámetros'!D17/(1+2^(-'⚙ Parámetros'!C17*(P133-'⚙ Parámetros'!B17))),'⚙ Parámetros'!G17/(1+2^(-'⚙ Parámetros'!F17*(P133-'⚙ Parámetros'!E17))),1)*P133+20/100*MAX('⚙ Parámetros'!D17/(1+2^(-'⚙ Parámetros'!C17*(Q133-'⚙ Parámetros'!B17))),'⚙ Parámetros'!G17/(1+2^(-'⚙ Parámetros'!F17*(Q133-'⚙ Parámetros'!E17))),1)*Q133)/(30/100*MAX('⚙ Parámetros'!D17/(1+2^(-'⚙ Parámetros'!C17*(N133-'⚙ Parámetros'!B17))),'⚙ Parámetros'!G17/(1+2^(-'⚙ Parámetros'!F17*(N133-'⚙ Parámetros'!E17))),1)+25/100*MAX('⚙ Parámetros'!D17/(1+2^(-'⚙ Parámetros'!C17*(O133-'⚙ Parámetros'!B17))),'⚙ Parámetros'!G17/(1+2^(-'⚙ Parámetros'!F17*(O133-'⚙ Parámetros'!E17))),1)+25/100*MAX('⚙ Parámetros'!D17/(1+2^(-'⚙ Parámetros'!C17*(P133-'⚙ Parámetros'!B17))),'⚙ Parámetros'!G17/(1+2^(-'⚙ Parámetros'!F17*(P133-'⚙ Parámetros'!E17))),1)+20/100*MAX('⚙ Parámetros'!D17/(1+2^(-'⚙ Parámetros'!C17*(Q133-'⚙ Parámetros'!B17))),'⚙ Parámetros'!G17/(1+2^(-'⚙ Parámetros'!F17*(Q133-'⚙ Parámetros'!E17))),1)),0)</f>
        <v>1</v>
      </c>
      <c r="AE133" s="80">
        <f>IFERROR((30/100*MAX('⚙ Parámetros'!D18/(1+2^(-'⚙ Parámetros'!C18*(R133-'⚙ Parámetros'!B18))),'⚙ Parámetros'!G18/(1+2^(-'⚙ Parámetros'!F18*(R133-'⚙ Parámetros'!E18))),1)*R133+30/100*MAX('⚙ Parámetros'!D18/(1+2^(-'⚙ Parámetros'!C18*(S133-'⚙ Parámetros'!B18))),'⚙ Parámetros'!G18/(1+2^(-'⚙ Parámetros'!F18*(S133-'⚙ Parámetros'!E18))),1)*S133+20/100*MAX('⚙ Parámetros'!D18/(1+2^(-'⚙ Parámetros'!C18*(T133-'⚙ Parámetros'!B18))),'⚙ Parámetros'!G18/(1+2^(-'⚙ Parámetros'!F18*(T133-'⚙ Parámetros'!E18))),1)*T133+20/100*MAX('⚙ Parámetros'!D18/(1+2^(-'⚙ Parámetros'!C18*(U133-'⚙ Parámetros'!B18))),'⚙ Parámetros'!G18/(1+2^(-'⚙ Parámetros'!F18*(U133-'⚙ Parámetros'!E18))),1)*U133)/(30/100*MAX('⚙ Parámetros'!D18/(1+2^(-'⚙ Parámetros'!C18*(R133-'⚙ Parámetros'!B18))),'⚙ Parámetros'!G18/(1+2^(-'⚙ Parámetros'!F18*(R133-'⚙ Parámetros'!E18))),1)+30/100*MAX('⚙ Parámetros'!D18/(1+2^(-'⚙ Parámetros'!C18*(S133-'⚙ Parámetros'!B18))),'⚙ Parámetros'!G18/(1+2^(-'⚙ Parámetros'!F18*(S133-'⚙ Parámetros'!E18))),1)+20/100*MAX('⚙ Parámetros'!D18/(1+2^(-'⚙ Parámetros'!C18*(T133-'⚙ Parámetros'!B18))),'⚙ Parámetros'!G18/(1+2^(-'⚙ Parámetros'!F18*(T133-'⚙ Parámetros'!E18))),1)+20/100*MAX('⚙ Parámetros'!D18/(1+2^(-'⚙ Parámetros'!C18*(U133-'⚙ Parámetros'!B18))),'⚙ Parámetros'!G18/(1+2^(-'⚙ Parámetros'!F18*(U133-'⚙ Parámetros'!E18))),1)),0)</f>
        <v>5</v>
      </c>
      <c r="AF133" s="80">
        <f>IFERROR((30/100*MAX('⚙ Parámetros'!D19/(1+2^(-'⚙ Parámetros'!C19*(V133-'⚙ Parámetros'!B19))),'⚙ Parámetros'!G19/(1+2^(-'⚙ Parámetros'!F19*(V133-'⚙ Parámetros'!E19))),1)*V133+35/100*MAX('⚙ Parámetros'!D19/(1+2^(-'⚙ Parámetros'!C19*(W133-'⚙ Parámetros'!B19))),'⚙ Parámetros'!G19/(1+2^(-'⚙ Parámetros'!F19*(W133-'⚙ Parámetros'!E19))),1)*W133+35/100*MAX('⚙ Parámetros'!D19/(1+2^(-'⚙ Parámetros'!C19*(X133-'⚙ Parámetros'!B19))),'⚙ Parámetros'!G19/(1+2^(-'⚙ Parámetros'!F19*(X133-'⚙ Parámetros'!E19))),1)*X133)/(30/100*MAX('⚙ Parámetros'!D19/(1+2^(-'⚙ Parámetros'!C19*(V133-'⚙ Parámetros'!B19))),'⚙ Parámetros'!G19/(1+2^(-'⚙ Parámetros'!F19*(V133-'⚙ Parámetros'!E19))),1)+35/100*MAX('⚙ Parámetros'!D19/(1+2^(-'⚙ Parámetros'!C19*(W133-'⚙ Parámetros'!B19))),'⚙ Parámetros'!G19/(1+2^(-'⚙ Parámetros'!F19*(W133-'⚙ Parámetros'!E19))),1)+35/100*MAX('⚙ Parámetros'!D19/(1+2^(-'⚙ Parámetros'!C19*(X133-'⚙ Parámetros'!B19))),'⚙ Parámetros'!G19/(1+2^(-'⚙ Parámetros'!F19*(X133-'⚙ Parámetros'!E19))),1)),0)</f>
        <v>5.7368421052631575</v>
      </c>
      <c r="AG133" s="80">
        <f>IFERROR((35/100*MAX('⚙ Parámetros'!D20/(1+2^(-'⚙ Parámetros'!C20*(Y133-'⚙ Parámetros'!B20))),'⚙ Parámetros'!G20/(1+2^(-'⚙ Parámetros'!F20*(Y133-'⚙ Parámetros'!E20))),1)*Y133+35/100*MAX('⚙ Parámetros'!D20/(1+2^(-'⚙ Parámetros'!C20*(Z133-'⚙ Parámetros'!B20))),'⚙ Parámetros'!G20/(1+2^(-'⚙ Parámetros'!F20*(Z133-'⚙ Parámetros'!E20))),1)*Z133+30/100*MAX('⚙ Parámetros'!D20/(1+2^(-'⚙ Parámetros'!C20*(AA133-'⚙ Parámetros'!B20))),'⚙ Parámetros'!G20/(1+2^(-'⚙ Parámetros'!F20*(AA133-'⚙ Parámetros'!E20))),1)*AA133)/(35/100*MAX('⚙ Parámetros'!D20/(1+2^(-'⚙ Parámetros'!C20*(Y133-'⚙ Parámetros'!B20))),'⚙ Parámetros'!G20/(1+2^(-'⚙ Parámetros'!F20*(Y133-'⚙ Parámetros'!E20))),1)+35/100*MAX('⚙ Parámetros'!D20/(1+2^(-'⚙ Parámetros'!C20*(Z133-'⚙ Parámetros'!B20))),'⚙ Parámetros'!G20/(1+2^(-'⚙ Parámetros'!F20*(Z133-'⚙ Parámetros'!E20))),1)+30/100*MAX('⚙ Parámetros'!D20/(1+2^(-'⚙ Parámetros'!C20*(AA133-'⚙ Parámetros'!B20))),'⚙ Parámetros'!G20/(1+2^(-'⚙ Parámetros'!F20*(AA133-'⚙ Parámetros'!E20))),1)),0)</f>
        <v>3.7272727272727275</v>
      </c>
      <c r="AH133" s="81">
        <f>('⚙ Parámetros'!B5/100*AB133+'⚙ Parámetros'!B6/100*AC133+'⚙ Parámetros'!B7/100*AD133+'⚙ Parámetros'!B8/100*AE133+'⚙ Parámetros'!B9/100*AF133+'⚙ Parámetros'!B10/100*AG133)</f>
        <v>2.2518660287081338</v>
      </c>
      <c r="AI133" s="33">
        <f ca="1">MIN(1+MAX(0,TODAY()-DATE(2026,2,12))/365*'⚙ Parámetros'!B33,'⚙ Parámetros'!B34)</f>
        <v>1.0493150684931507</v>
      </c>
      <c r="AJ133" s="82">
        <f t="shared" ref="AJ133:AJ139" ca="1" si="8">IFERROR(MIN(AH133*AI133,10),0)</f>
        <v>2.3629169561512748</v>
      </c>
      <c r="AK133" s="83" t="str">
        <f ca="1">IF(AB133&gt;='⚙ Parámetros'!B23,"⚑ AUTO-PRIOR.(D1≥8)",IF(AJ133&gt;='⚙ Parámetros'!B23,"PRIORITARIO",IF(AJ133&gt;='⚙ Parámetros'!B24,"ALTA PRIORIDAD",IF(AJ133&gt;='⚙ Parámetros'!B25,"PRIORIDAD MEDIA",IF(AJ133&gt;='⚙ Parámetros'!B26,"BAJA PRIORIDAD","DESCARTAR")))))</f>
        <v>DESCARTAR</v>
      </c>
      <c r="AL133" s="84" t="str">
        <f t="shared" ref="AL133:AL139" si="9">IF(AB133&gt;=8,"SÍ ⚑","—")</f>
        <v>—</v>
      </c>
      <c r="AM133" s="85">
        <v>14</v>
      </c>
      <c r="AN133" s="83" t="str">
        <f>IF(AM133="","—",IF(AM133&lt;'⚙ Parámetros'!B29,"🟢 Corto",IF(AM133&lt;'⚙ Parámetros'!B30,"🟡 Medio","🔴 Largo")))</f>
        <v>🟢 Corto</v>
      </c>
    </row>
    <row r="134" spans="1:40" ht="18.75" customHeight="1" x14ac:dyDescent="0.25">
      <c r="A134" s="69">
        <v>130</v>
      </c>
      <c r="B134" s="30" t="s">
        <v>372</v>
      </c>
      <c r="C134" s="26" t="s">
        <v>135</v>
      </c>
      <c r="D134" s="71" t="s">
        <v>139</v>
      </c>
      <c r="E134" s="72" t="s">
        <v>326</v>
      </c>
      <c r="F134" s="74">
        <v>1</v>
      </c>
      <c r="G134" s="74">
        <v>1</v>
      </c>
      <c r="H134" s="74">
        <v>1</v>
      </c>
      <c r="I134" s="74">
        <v>1</v>
      </c>
      <c r="J134" s="74">
        <v>1</v>
      </c>
      <c r="K134" s="74">
        <v>1</v>
      </c>
      <c r="L134" s="74">
        <v>1</v>
      </c>
      <c r="M134" s="86">
        <v>3</v>
      </c>
      <c r="N134" s="74">
        <v>1</v>
      </c>
      <c r="O134" s="74">
        <v>1</v>
      </c>
      <c r="P134" s="74">
        <v>1</v>
      </c>
      <c r="Q134" s="74">
        <v>1</v>
      </c>
      <c r="R134" s="86">
        <v>5</v>
      </c>
      <c r="S134" s="86">
        <v>5</v>
      </c>
      <c r="T134" s="86">
        <v>5</v>
      </c>
      <c r="U134" s="86">
        <v>5</v>
      </c>
      <c r="V134" s="86">
        <v>5</v>
      </c>
      <c r="W134" s="86">
        <v>6</v>
      </c>
      <c r="X134" s="86">
        <v>6</v>
      </c>
      <c r="Y134" s="86">
        <v>4</v>
      </c>
      <c r="Z134" s="74">
        <v>2</v>
      </c>
      <c r="AA134" s="86">
        <v>5</v>
      </c>
      <c r="AB134" s="89">
        <f>IFERROR((30/100*MAX('⚙ Parámetros'!D15/(1+2^(-'⚙ Parámetros'!C15*(F134-'⚙ Parámetros'!B15))),'⚙ Parámetros'!G15/(1+2^(-'⚙ Parámetros'!F15*(F134-'⚙ Parámetros'!E15))),1)*F134+30/100*MAX('⚙ Parámetros'!D15/(1+2^(-'⚙ Parámetros'!C15*(G134-'⚙ Parámetros'!B15))),'⚙ Parámetros'!G15/(1+2^(-'⚙ Parámetros'!F15*(G134-'⚙ Parámetros'!E15))),1)*G134+20/100*MAX('⚙ Parámetros'!D15/(1+2^(-'⚙ Parámetros'!C15*(H134-'⚙ Parámetros'!B15))),'⚙ Parámetros'!G15/(1+2^(-'⚙ Parámetros'!F15*(H134-'⚙ Parámetros'!E15))),1)*H134+20/100*MAX('⚙ Parámetros'!D15/(1+2^(-'⚙ Parámetros'!C15*(I134-'⚙ Parámetros'!B15))),'⚙ Parámetros'!G15/(1+2^(-'⚙ Parámetros'!F15*(I134-'⚙ Parámetros'!E15))),1)*I134)/(30/100*MAX('⚙ Parámetros'!D15/(1+2^(-'⚙ Parámetros'!C15*(F134-'⚙ Parámetros'!B15))),'⚙ Parámetros'!G15/(1+2^(-'⚙ Parámetros'!F15*(F134-'⚙ Parámetros'!E15))),1)+30/100*MAX('⚙ Parámetros'!D15/(1+2^(-'⚙ Parámetros'!C15*(G134-'⚙ Parámetros'!B15))),'⚙ Parámetros'!G15/(1+2^(-'⚙ Parámetros'!F15*(G134-'⚙ Parámetros'!E15))),1)+20/100*MAX('⚙ Parámetros'!D15/(1+2^(-'⚙ Parámetros'!C15*(H134-'⚙ Parámetros'!B15))),'⚙ Parámetros'!G15/(1+2^(-'⚙ Parámetros'!F15*(H134-'⚙ Parámetros'!E15))),1)+20/100*MAX('⚙ Parámetros'!D15/(1+2^(-'⚙ Parámetros'!C15*(I134-'⚙ Parámetros'!B15))),'⚙ Parámetros'!G15/(1+2^(-'⚙ Parámetros'!F15*(I134-'⚙ Parámetros'!E15))),1)),0)</f>
        <v>1</v>
      </c>
      <c r="AC134" s="89">
        <f>IFERROR((35/100*MAX('⚙ Parámetros'!D16/(1+2^(-'⚙ Parámetros'!C16*(J134-'⚙ Parámetros'!B16))),'⚙ Parámetros'!G16/(1+2^(-'⚙ Parámetros'!F16*(J134-'⚙ Parámetros'!E16))),1)*J134+25/100*MAX('⚙ Parámetros'!D16/(1+2^(-'⚙ Parámetros'!C16*(K134-'⚙ Parámetros'!B16))),'⚙ Parámetros'!G16/(1+2^(-'⚙ Parámetros'!F16*(K134-'⚙ Parámetros'!E16))),1)*K134+20/100*MAX('⚙ Parámetros'!D16/(1+2^(-'⚙ Parámetros'!C16*(L134-'⚙ Parámetros'!B16))),'⚙ Parámetros'!G16/(1+2^(-'⚙ Parámetros'!F16*(L134-'⚙ Parámetros'!E16))),1)*L134+20/100*MAX('⚙ Parámetros'!D16/(1+2^(-'⚙ Parámetros'!C16*(M134-'⚙ Parámetros'!B16))),'⚙ Parámetros'!G16/(1+2^(-'⚙ Parámetros'!F16*(M134-'⚙ Parámetros'!E16))),1)*M134)/(35/100*MAX('⚙ Parámetros'!D16/(1+2^(-'⚙ Parámetros'!C16*(J134-'⚙ Parámetros'!B16))),'⚙ Parámetros'!G16/(1+2^(-'⚙ Parámetros'!F16*(J134-'⚙ Parámetros'!E16))),1)+25/100*MAX('⚙ Parámetros'!D16/(1+2^(-'⚙ Parámetros'!C16*(K134-'⚙ Parámetros'!B16))),'⚙ Parámetros'!G16/(1+2^(-'⚙ Parámetros'!F16*(K134-'⚙ Parámetros'!E16))),1)+20/100*MAX('⚙ Parámetros'!D16/(1+2^(-'⚙ Parámetros'!C16*(L134-'⚙ Parámetros'!B16))),'⚙ Parámetros'!G16/(1+2^(-'⚙ Parámetros'!F16*(L134-'⚙ Parámetros'!E16))),1)+20/100*MAX('⚙ Parámetros'!D16/(1+2^(-'⚙ Parámetros'!C16*(M134-'⚙ Parámetros'!B16))),'⚙ Parámetros'!G16/(1+2^(-'⚙ Parámetros'!F16*(M134-'⚙ Parámetros'!E16))),1)),0)</f>
        <v>1.4000000000000001</v>
      </c>
      <c r="AD134" s="89">
        <f>IFERROR((30/100*MAX('⚙ Parámetros'!D17/(1+2^(-'⚙ Parámetros'!C17*(N134-'⚙ Parámetros'!B17))),'⚙ Parámetros'!G17/(1+2^(-'⚙ Parámetros'!F17*(N134-'⚙ Parámetros'!E17))),1)*N134+25/100*MAX('⚙ Parámetros'!D17/(1+2^(-'⚙ Parámetros'!C17*(O134-'⚙ Parámetros'!B17))),'⚙ Parámetros'!G17/(1+2^(-'⚙ Parámetros'!F17*(O134-'⚙ Parámetros'!E17))),1)*O134+25/100*MAX('⚙ Parámetros'!D17/(1+2^(-'⚙ Parámetros'!C17*(P134-'⚙ Parámetros'!B17))),'⚙ Parámetros'!G17/(1+2^(-'⚙ Parámetros'!F17*(P134-'⚙ Parámetros'!E17))),1)*P134+20/100*MAX('⚙ Parámetros'!D17/(1+2^(-'⚙ Parámetros'!C17*(Q134-'⚙ Parámetros'!B17))),'⚙ Parámetros'!G17/(1+2^(-'⚙ Parámetros'!F17*(Q134-'⚙ Parámetros'!E17))),1)*Q134)/(30/100*MAX('⚙ Parámetros'!D17/(1+2^(-'⚙ Parámetros'!C17*(N134-'⚙ Parámetros'!B17))),'⚙ Parámetros'!G17/(1+2^(-'⚙ Parámetros'!F17*(N134-'⚙ Parámetros'!E17))),1)+25/100*MAX('⚙ Parámetros'!D17/(1+2^(-'⚙ Parámetros'!C17*(O134-'⚙ Parámetros'!B17))),'⚙ Parámetros'!G17/(1+2^(-'⚙ Parámetros'!F17*(O134-'⚙ Parámetros'!E17))),1)+25/100*MAX('⚙ Parámetros'!D17/(1+2^(-'⚙ Parámetros'!C17*(P134-'⚙ Parámetros'!B17))),'⚙ Parámetros'!G17/(1+2^(-'⚙ Parámetros'!F17*(P134-'⚙ Parámetros'!E17))),1)+20/100*MAX('⚙ Parámetros'!D17/(1+2^(-'⚙ Parámetros'!C17*(Q134-'⚙ Parámetros'!B17))),'⚙ Parámetros'!G17/(1+2^(-'⚙ Parámetros'!F17*(Q134-'⚙ Parámetros'!E17))),1)),0)</f>
        <v>1</v>
      </c>
      <c r="AE134" s="89">
        <f>IFERROR((30/100*MAX('⚙ Parámetros'!D18/(1+2^(-'⚙ Parámetros'!C18*(R134-'⚙ Parámetros'!B18))),'⚙ Parámetros'!G18/(1+2^(-'⚙ Parámetros'!F18*(R134-'⚙ Parámetros'!E18))),1)*R134+30/100*MAX('⚙ Parámetros'!D18/(1+2^(-'⚙ Parámetros'!C18*(S134-'⚙ Parámetros'!B18))),'⚙ Parámetros'!G18/(1+2^(-'⚙ Parámetros'!F18*(S134-'⚙ Parámetros'!E18))),1)*S134+20/100*MAX('⚙ Parámetros'!D18/(1+2^(-'⚙ Parámetros'!C18*(T134-'⚙ Parámetros'!B18))),'⚙ Parámetros'!G18/(1+2^(-'⚙ Parámetros'!F18*(T134-'⚙ Parámetros'!E18))),1)*T134+20/100*MAX('⚙ Parámetros'!D18/(1+2^(-'⚙ Parámetros'!C18*(U134-'⚙ Parámetros'!B18))),'⚙ Parámetros'!G18/(1+2^(-'⚙ Parámetros'!F18*(U134-'⚙ Parámetros'!E18))),1)*U134)/(30/100*MAX('⚙ Parámetros'!D18/(1+2^(-'⚙ Parámetros'!C18*(R134-'⚙ Parámetros'!B18))),'⚙ Parámetros'!G18/(1+2^(-'⚙ Parámetros'!F18*(R134-'⚙ Parámetros'!E18))),1)+30/100*MAX('⚙ Parámetros'!D18/(1+2^(-'⚙ Parámetros'!C18*(S134-'⚙ Parámetros'!B18))),'⚙ Parámetros'!G18/(1+2^(-'⚙ Parámetros'!F18*(S134-'⚙ Parámetros'!E18))),1)+20/100*MAX('⚙ Parámetros'!D18/(1+2^(-'⚙ Parámetros'!C18*(T134-'⚙ Parámetros'!B18))),'⚙ Parámetros'!G18/(1+2^(-'⚙ Parámetros'!F18*(T134-'⚙ Parámetros'!E18))),1)+20/100*MAX('⚙ Parámetros'!D18/(1+2^(-'⚙ Parámetros'!C18*(U134-'⚙ Parámetros'!B18))),'⚙ Parámetros'!G18/(1+2^(-'⚙ Parámetros'!F18*(U134-'⚙ Parámetros'!E18))),1)),0)</f>
        <v>5</v>
      </c>
      <c r="AF134" s="89">
        <f>IFERROR((30/100*MAX('⚙ Parámetros'!D19/(1+2^(-'⚙ Parámetros'!C19*(V134-'⚙ Parámetros'!B19))),'⚙ Parámetros'!G19/(1+2^(-'⚙ Parámetros'!F19*(V134-'⚙ Parámetros'!E19))),1)*V134+35/100*MAX('⚙ Parámetros'!D19/(1+2^(-'⚙ Parámetros'!C19*(W134-'⚙ Parámetros'!B19))),'⚙ Parámetros'!G19/(1+2^(-'⚙ Parámetros'!F19*(W134-'⚙ Parámetros'!E19))),1)*W134+35/100*MAX('⚙ Parámetros'!D19/(1+2^(-'⚙ Parámetros'!C19*(X134-'⚙ Parámetros'!B19))),'⚙ Parámetros'!G19/(1+2^(-'⚙ Parámetros'!F19*(X134-'⚙ Parámetros'!E19))),1)*X134)/(30/100*MAX('⚙ Parámetros'!D19/(1+2^(-'⚙ Parámetros'!C19*(V134-'⚙ Parámetros'!B19))),'⚙ Parámetros'!G19/(1+2^(-'⚙ Parámetros'!F19*(V134-'⚙ Parámetros'!E19))),1)+35/100*MAX('⚙ Parámetros'!D19/(1+2^(-'⚙ Parámetros'!C19*(W134-'⚙ Parámetros'!B19))),'⚙ Parámetros'!G19/(1+2^(-'⚙ Parámetros'!F19*(W134-'⚙ Parámetros'!E19))),1)+35/100*MAX('⚙ Parámetros'!D19/(1+2^(-'⚙ Parámetros'!C19*(X134-'⚙ Parámetros'!B19))),'⚙ Parámetros'!G19/(1+2^(-'⚙ Parámetros'!F19*(X134-'⚙ Parámetros'!E19))),1)),0)</f>
        <v>5.7368421052631575</v>
      </c>
      <c r="AG134" s="89">
        <f>IFERROR((35/100*MAX('⚙ Parámetros'!D20/(1+2^(-'⚙ Parámetros'!C20*(Y134-'⚙ Parámetros'!B20))),'⚙ Parámetros'!G20/(1+2^(-'⚙ Parámetros'!F20*(Y134-'⚙ Parámetros'!E20))),1)*Y134+35/100*MAX('⚙ Parámetros'!D20/(1+2^(-'⚙ Parámetros'!C20*(Z134-'⚙ Parámetros'!B20))),'⚙ Parámetros'!G20/(1+2^(-'⚙ Parámetros'!F20*(Z134-'⚙ Parámetros'!E20))),1)*Z134+30/100*MAX('⚙ Parámetros'!D20/(1+2^(-'⚙ Parámetros'!C20*(AA134-'⚙ Parámetros'!B20))),'⚙ Parámetros'!G20/(1+2^(-'⚙ Parámetros'!F20*(AA134-'⚙ Parámetros'!E20))),1)*AA134)/(35/100*MAX('⚙ Parámetros'!D20/(1+2^(-'⚙ Parámetros'!C20*(Y134-'⚙ Parámetros'!B20))),'⚙ Parámetros'!G20/(1+2^(-'⚙ Parámetros'!F20*(Y134-'⚙ Parámetros'!E20))),1)+35/100*MAX('⚙ Parámetros'!D20/(1+2^(-'⚙ Parámetros'!C20*(Z134-'⚙ Parámetros'!B20))),'⚙ Parámetros'!G20/(1+2^(-'⚙ Parámetros'!F20*(Z134-'⚙ Parámetros'!E20))),1)+30/100*MAX('⚙ Parámetros'!D20/(1+2^(-'⚙ Parámetros'!C20*(AA134-'⚙ Parámetros'!B20))),'⚙ Parámetros'!G20/(1+2^(-'⚙ Parámetros'!F20*(AA134-'⚙ Parámetros'!E20))),1)),0)</f>
        <v>3.7272727272727275</v>
      </c>
      <c r="AH134" s="90">
        <f>('⚙ Parámetros'!B5/100*AB134+'⚙ Parámetros'!B6/100*AC134+'⚙ Parámetros'!B7/100*AD134+'⚙ Parámetros'!B8/100*AE134+'⚙ Parámetros'!B9/100*AF134+'⚙ Parámetros'!B10/100*AG134)</f>
        <v>2.2518660287081338</v>
      </c>
      <c r="AI134" s="91">
        <f ca="1">MIN(1+MAX(0,TODAY()-DATE(2026,2,12))/365*'⚙ Parámetros'!B33,'⚙ Parámetros'!B34)</f>
        <v>1.0493150684931507</v>
      </c>
      <c r="AJ134" s="82">
        <f t="shared" ca="1" si="8"/>
        <v>2.3629169561512748</v>
      </c>
      <c r="AK134" s="92" t="str">
        <f ca="1">IF(AB134&gt;='⚙ Parámetros'!B23,"⚑ AUTO-PRIOR.(D1≥8)",IF(AJ134&gt;='⚙ Parámetros'!B23,"PRIORITARIO",IF(AJ134&gt;='⚙ Parámetros'!B24,"ALTA PRIORIDAD",IF(AJ134&gt;='⚙ Parámetros'!B25,"PRIORIDAD MEDIA",IF(AJ134&gt;='⚙ Parámetros'!B26,"BAJA PRIORIDAD","DESCARTAR")))))</f>
        <v>DESCARTAR</v>
      </c>
      <c r="AL134" s="69" t="str">
        <f t="shared" si="9"/>
        <v>—</v>
      </c>
      <c r="AM134" s="85">
        <v>13</v>
      </c>
      <c r="AN134" s="83" t="str">
        <f>IF(AM134="","—",IF(AM134&lt;'⚙ Parámetros'!B29,"🟢 Corto",IF(AM134&lt;'⚙ Parámetros'!B30,"🟡 Medio","🔴 Largo")))</f>
        <v>🟢 Corto</v>
      </c>
    </row>
    <row r="135" spans="1:40" ht="18.75" customHeight="1" x14ac:dyDescent="0.25">
      <c r="A135" s="69">
        <v>131</v>
      </c>
      <c r="B135" s="70" t="s">
        <v>373</v>
      </c>
      <c r="C135" s="4" t="s">
        <v>344</v>
      </c>
      <c r="D135" s="71" t="s">
        <v>136</v>
      </c>
      <c r="E135" s="72" t="s">
        <v>374</v>
      </c>
      <c r="F135" s="74">
        <v>1</v>
      </c>
      <c r="G135" s="74">
        <v>1</v>
      </c>
      <c r="H135" s="74">
        <v>1</v>
      </c>
      <c r="I135" s="74">
        <v>1</v>
      </c>
      <c r="J135" s="74">
        <v>1</v>
      </c>
      <c r="K135" s="74">
        <v>1</v>
      </c>
      <c r="L135" s="74">
        <v>1</v>
      </c>
      <c r="M135" s="73">
        <v>3</v>
      </c>
      <c r="N135" s="74">
        <v>1</v>
      </c>
      <c r="O135" s="74">
        <v>1</v>
      </c>
      <c r="P135" s="74">
        <v>1</v>
      </c>
      <c r="Q135" s="74">
        <v>1</v>
      </c>
      <c r="R135" s="73">
        <v>5</v>
      </c>
      <c r="S135" s="73">
        <v>5</v>
      </c>
      <c r="T135" s="73">
        <v>5</v>
      </c>
      <c r="U135" s="73">
        <v>5</v>
      </c>
      <c r="V135" s="73">
        <v>5</v>
      </c>
      <c r="W135" s="73">
        <v>6</v>
      </c>
      <c r="X135" s="73">
        <v>6</v>
      </c>
      <c r="Y135" s="73">
        <v>4</v>
      </c>
      <c r="Z135" s="74">
        <v>2</v>
      </c>
      <c r="AA135" s="73">
        <v>5</v>
      </c>
      <c r="AB135" s="80">
        <f>IFERROR((30/100*MAX('⚙ Parámetros'!D15/(1+2^(-'⚙ Parámetros'!C15*(F135-'⚙ Parámetros'!B15))),'⚙ Parámetros'!G15/(1+2^(-'⚙ Parámetros'!F15*(F135-'⚙ Parámetros'!E15))),1)*F135+30/100*MAX('⚙ Parámetros'!D15/(1+2^(-'⚙ Parámetros'!C15*(G135-'⚙ Parámetros'!B15))),'⚙ Parámetros'!G15/(1+2^(-'⚙ Parámetros'!F15*(G135-'⚙ Parámetros'!E15))),1)*G135+20/100*MAX('⚙ Parámetros'!D15/(1+2^(-'⚙ Parámetros'!C15*(H135-'⚙ Parámetros'!B15))),'⚙ Parámetros'!G15/(1+2^(-'⚙ Parámetros'!F15*(H135-'⚙ Parámetros'!E15))),1)*H135+20/100*MAX('⚙ Parámetros'!D15/(1+2^(-'⚙ Parámetros'!C15*(I135-'⚙ Parámetros'!B15))),'⚙ Parámetros'!G15/(1+2^(-'⚙ Parámetros'!F15*(I135-'⚙ Parámetros'!E15))),1)*I135)/(30/100*MAX('⚙ Parámetros'!D15/(1+2^(-'⚙ Parámetros'!C15*(F135-'⚙ Parámetros'!B15))),'⚙ Parámetros'!G15/(1+2^(-'⚙ Parámetros'!F15*(F135-'⚙ Parámetros'!E15))),1)+30/100*MAX('⚙ Parámetros'!D15/(1+2^(-'⚙ Parámetros'!C15*(G135-'⚙ Parámetros'!B15))),'⚙ Parámetros'!G15/(1+2^(-'⚙ Parámetros'!F15*(G135-'⚙ Parámetros'!E15))),1)+20/100*MAX('⚙ Parámetros'!D15/(1+2^(-'⚙ Parámetros'!C15*(H135-'⚙ Parámetros'!B15))),'⚙ Parámetros'!G15/(1+2^(-'⚙ Parámetros'!F15*(H135-'⚙ Parámetros'!E15))),1)+20/100*MAX('⚙ Parámetros'!D15/(1+2^(-'⚙ Parámetros'!C15*(I135-'⚙ Parámetros'!B15))),'⚙ Parámetros'!G15/(1+2^(-'⚙ Parámetros'!F15*(I135-'⚙ Parámetros'!E15))),1)),0)</f>
        <v>1</v>
      </c>
      <c r="AC135" s="80">
        <f>IFERROR((35/100*MAX('⚙ Parámetros'!D16/(1+2^(-'⚙ Parámetros'!C16*(J135-'⚙ Parámetros'!B16))),'⚙ Parámetros'!G16/(1+2^(-'⚙ Parámetros'!F16*(J135-'⚙ Parámetros'!E16))),1)*J135+25/100*MAX('⚙ Parámetros'!D16/(1+2^(-'⚙ Parámetros'!C16*(K135-'⚙ Parámetros'!B16))),'⚙ Parámetros'!G16/(1+2^(-'⚙ Parámetros'!F16*(K135-'⚙ Parámetros'!E16))),1)*K135+20/100*MAX('⚙ Parámetros'!D16/(1+2^(-'⚙ Parámetros'!C16*(L135-'⚙ Parámetros'!B16))),'⚙ Parámetros'!G16/(1+2^(-'⚙ Parámetros'!F16*(L135-'⚙ Parámetros'!E16))),1)*L135+20/100*MAX('⚙ Parámetros'!D16/(1+2^(-'⚙ Parámetros'!C16*(M135-'⚙ Parámetros'!B16))),'⚙ Parámetros'!G16/(1+2^(-'⚙ Parámetros'!F16*(M135-'⚙ Parámetros'!E16))),1)*M135)/(35/100*MAX('⚙ Parámetros'!D16/(1+2^(-'⚙ Parámetros'!C16*(J135-'⚙ Parámetros'!B16))),'⚙ Parámetros'!G16/(1+2^(-'⚙ Parámetros'!F16*(J135-'⚙ Parámetros'!E16))),1)+25/100*MAX('⚙ Parámetros'!D16/(1+2^(-'⚙ Parámetros'!C16*(K135-'⚙ Parámetros'!B16))),'⚙ Parámetros'!G16/(1+2^(-'⚙ Parámetros'!F16*(K135-'⚙ Parámetros'!E16))),1)+20/100*MAX('⚙ Parámetros'!D16/(1+2^(-'⚙ Parámetros'!C16*(L135-'⚙ Parámetros'!B16))),'⚙ Parámetros'!G16/(1+2^(-'⚙ Parámetros'!F16*(L135-'⚙ Parámetros'!E16))),1)+20/100*MAX('⚙ Parámetros'!D16/(1+2^(-'⚙ Parámetros'!C16*(M135-'⚙ Parámetros'!B16))),'⚙ Parámetros'!G16/(1+2^(-'⚙ Parámetros'!F16*(M135-'⚙ Parámetros'!E16))),1)),0)</f>
        <v>1.4000000000000001</v>
      </c>
      <c r="AD135" s="80">
        <f>IFERROR((30/100*MAX('⚙ Parámetros'!D17/(1+2^(-'⚙ Parámetros'!C17*(N135-'⚙ Parámetros'!B17))),'⚙ Parámetros'!G17/(1+2^(-'⚙ Parámetros'!F17*(N135-'⚙ Parámetros'!E17))),1)*N135+25/100*MAX('⚙ Parámetros'!D17/(1+2^(-'⚙ Parámetros'!C17*(O135-'⚙ Parámetros'!B17))),'⚙ Parámetros'!G17/(1+2^(-'⚙ Parámetros'!F17*(O135-'⚙ Parámetros'!E17))),1)*O135+25/100*MAX('⚙ Parámetros'!D17/(1+2^(-'⚙ Parámetros'!C17*(P135-'⚙ Parámetros'!B17))),'⚙ Parámetros'!G17/(1+2^(-'⚙ Parámetros'!F17*(P135-'⚙ Parámetros'!E17))),1)*P135+20/100*MAX('⚙ Parámetros'!D17/(1+2^(-'⚙ Parámetros'!C17*(Q135-'⚙ Parámetros'!B17))),'⚙ Parámetros'!G17/(1+2^(-'⚙ Parámetros'!F17*(Q135-'⚙ Parámetros'!E17))),1)*Q135)/(30/100*MAX('⚙ Parámetros'!D17/(1+2^(-'⚙ Parámetros'!C17*(N135-'⚙ Parámetros'!B17))),'⚙ Parámetros'!G17/(1+2^(-'⚙ Parámetros'!F17*(N135-'⚙ Parámetros'!E17))),1)+25/100*MAX('⚙ Parámetros'!D17/(1+2^(-'⚙ Parámetros'!C17*(O135-'⚙ Parámetros'!B17))),'⚙ Parámetros'!G17/(1+2^(-'⚙ Parámetros'!F17*(O135-'⚙ Parámetros'!E17))),1)+25/100*MAX('⚙ Parámetros'!D17/(1+2^(-'⚙ Parámetros'!C17*(P135-'⚙ Parámetros'!B17))),'⚙ Parámetros'!G17/(1+2^(-'⚙ Parámetros'!F17*(P135-'⚙ Parámetros'!E17))),1)+20/100*MAX('⚙ Parámetros'!D17/(1+2^(-'⚙ Parámetros'!C17*(Q135-'⚙ Parámetros'!B17))),'⚙ Parámetros'!G17/(1+2^(-'⚙ Parámetros'!F17*(Q135-'⚙ Parámetros'!E17))),1)),0)</f>
        <v>1</v>
      </c>
      <c r="AE135" s="80">
        <f>IFERROR((30/100*MAX('⚙ Parámetros'!D18/(1+2^(-'⚙ Parámetros'!C18*(R135-'⚙ Parámetros'!B18))),'⚙ Parámetros'!G18/(1+2^(-'⚙ Parámetros'!F18*(R135-'⚙ Parámetros'!E18))),1)*R135+30/100*MAX('⚙ Parámetros'!D18/(1+2^(-'⚙ Parámetros'!C18*(S135-'⚙ Parámetros'!B18))),'⚙ Parámetros'!G18/(1+2^(-'⚙ Parámetros'!F18*(S135-'⚙ Parámetros'!E18))),1)*S135+20/100*MAX('⚙ Parámetros'!D18/(1+2^(-'⚙ Parámetros'!C18*(T135-'⚙ Parámetros'!B18))),'⚙ Parámetros'!G18/(1+2^(-'⚙ Parámetros'!F18*(T135-'⚙ Parámetros'!E18))),1)*T135+20/100*MAX('⚙ Parámetros'!D18/(1+2^(-'⚙ Parámetros'!C18*(U135-'⚙ Parámetros'!B18))),'⚙ Parámetros'!G18/(1+2^(-'⚙ Parámetros'!F18*(U135-'⚙ Parámetros'!E18))),1)*U135)/(30/100*MAX('⚙ Parámetros'!D18/(1+2^(-'⚙ Parámetros'!C18*(R135-'⚙ Parámetros'!B18))),'⚙ Parámetros'!G18/(1+2^(-'⚙ Parámetros'!F18*(R135-'⚙ Parámetros'!E18))),1)+30/100*MAX('⚙ Parámetros'!D18/(1+2^(-'⚙ Parámetros'!C18*(S135-'⚙ Parámetros'!B18))),'⚙ Parámetros'!G18/(1+2^(-'⚙ Parámetros'!F18*(S135-'⚙ Parámetros'!E18))),1)+20/100*MAX('⚙ Parámetros'!D18/(1+2^(-'⚙ Parámetros'!C18*(T135-'⚙ Parámetros'!B18))),'⚙ Parámetros'!G18/(1+2^(-'⚙ Parámetros'!F18*(T135-'⚙ Parámetros'!E18))),1)+20/100*MAX('⚙ Parámetros'!D18/(1+2^(-'⚙ Parámetros'!C18*(U135-'⚙ Parámetros'!B18))),'⚙ Parámetros'!G18/(1+2^(-'⚙ Parámetros'!F18*(U135-'⚙ Parámetros'!E18))),1)),0)</f>
        <v>5</v>
      </c>
      <c r="AF135" s="80">
        <f>IFERROR((30/100*MAX('⚙ Parámetros'!D19/(1+2^(-'⚙ Parámetros'!C19*(V135-'⚙ Parámetros'!B19))),'⚙ Parámetros'!G19/(1+2^(-'⚙ Parámetros'!F19*(V135-'⚙ Parámetros'!E19))),1)*V135+35/100*MAX('⚙ Parámetros'!D19/(1+2^(-'⚙ Parámetros'!C19*(W135-'⚙ Parámetros'!B19))),'⚙ Parámetros'!G19/(1+2^(-'⚙ Parámetros'!F19*(W135-'⚙ Parámetros'!E19))),1)*W135+35/100*MAX('⚙ Parámetros'!D19/(1+2^(-'⚙ Parámetros'!C19*(X135-'⚙ Parámetros'!B19))),'⚙ Parámetros'!G19/(1+2^(-'⚙ Parámetros'!F19*(X135-'⚙ Parámetros'!E19))),1)*X135)/(30/100*MAX('⚙ Parámetros'!D19/(1+2^(-'⚙ Parámetros'!C19*(V135-'⚙ Parámetros'!B19))),'⚙ Parámetros'!G19/(1+2^(-'⚙ Parámetros'!F19*(V135-'⚙ Parámetros'!E19))),1)+35/100*MAX('⚙ Parámetros'!D19/(1+2^(-'⚙ Parámetros'!C19*(W135-'⚙ Parámetros'!B19))),'⚙ Parámetros'!G19/(1+2^(-'⚙ Parámetros'!F19*(W135-'⚙ Parámetros'!E19))),1)+35/100*MAX('⚙ Parámetros'!D19/(1+2^(-'⚙ Parámetros'!C19*(X135-'⚙ Parámetros'!B19))),'⚙ Parámetros'!G19/(1+2^(-'⚙ Parámetros'!F19*(X135-'⚙ Parámetros'!E19))),1)),0)</f>
        <v>5.7368421052631575</v>
      </c>
      <c r="AG135" s="80">
        <f>IFERROR((35/100*MAX('⚙ Parámetros'!D20/(1+2^(-'⚙ Parámetros'!C20*(Y135-'⚙ Parámetros'!B20))),'⚙ Parámetros'!G20/(1+2^(-'⚙ Parámetros'!F20*(Y135-'⚙ Parámetros'!E20))),1)*Y135+35/100*MAX('⚙ Parámetros'!D20/(1+2^(-'⚙ Parámetros'!C20*(Z135-'⚙ Parámetros'!B20))),'⚙ Parámetros'!G20/(1+2^(-'⚙ Parámetros'!F20*(Z135-'⚙ Parámetros'!E20))),1)*Z135+30/100*MAX('⚙ Parámetros'!D20/(1+2^(-'⚙ Parámetros'!C20*(AA135-'⚙ Parámetros'!B20))),'⚙ Parámetros'!G20/(1+2^(-'⚙ Parámetros'!F20*(AA135-'⚙ Parámetros'!E20))),1)*AA135)/(35/100*MAX('⚙ Parámetros'!D20/(1+2^(-'⚙ Parámetros'!C20*(Y135-'⚙ Parámetros'!B20))),'⚙ Parámetros'!G20/(1+2^(-'⚙ Parámetros'!F20*(Y135-'⚙ Parámetros'!E20))),1)+35/100*MAX('⚙ Parámetros'!D20/(1+2^(-'⚙ Parámetros'!C20*(Z135-'⚙ Parámetros'!B20))),'⚙ Parámetros'!G20/(1+2^(-'⚙ Parámetros'!F20*(Z135-'⚙ Parámetros'!E20))),1)+30/100*MAX('⚙ Parámetros'!D20/(1+2^(-'⚙ Parámetros'!C20*(AA135-'⚙ Parámetros'!B20))),'⚙ Parámetros'!G20/(1+2^(-'⚙ Parámetros'!F20*(AA135-'⚙ Parámetros'!E20))),1)),0)</f>
        <v>3.7272727272727275</v>
      </c>
      <c r="AH135" s="81">
        <f>('⚙ Parámetros'!B5/100*AB135+'⚙ Parámetros'!B6/100*AC135+'⚙ Parámetros'!B7/100*AD135+'⚙ Parámetros'!B8/100*AE135+'⚙ Parámetros'!B9/100*AF135+'⚙ Parámetros'!B10/100*AG135)</f>
        <v>2.2518660287081338</v>
      </c>
      <c r="AI135" s="33">
        <f ca="1">MIN(1+MAX(0,TODAY()-DATE(2025,10,17))/365*'⚙ Parámetros'!B33,'⚙ Parámetros'!B34)</f>
        <v>1.0978082191780822</v>
      </c>
      <c r="AJ135" s="82">
        <f t="shared" ca="1" si="8"/>
        <v>2.4721170348036967</v>
      </c>
      <c r="AK135" s="83" t="str">
        <f ca="1">IF(AB135&gt;='⚙ Parámetros'!B23,"⚑ AUTO-PRIOR.(D1≥8)",IF(AJ135&gt;='⚙ Parámetros'!B23,"PRIORITARIO",IF(AJ135&gt;='⚙ Parámetros'!B24,"ALTA PRIORIDAD",IF(AJ135&gt;='⚙ Parámetros'!B25,"PRIORIDAD MEDIA",IF(AJ135&gt;='⚙ Parámetros'!B26,"BAJA PRIORIDAD","DESCARTAR")))))</f>
        <v>DESCARTAR</v>
      </c>
      <c r="AL135" s="84" t="str">
        <f t="shared" si="9"/>
        <v>—</v>
      </c>
      <c r="AM135" s="85">
        <v>49</v>
      </c>
      <c r="AN135" s="83" t="str">
        <f>IF(AM135="","—",IF(AM135&lt;'⚙ Parámetros'!B29,"🟢 Corto",IF(AM135&lt;'⚙ Parámetros'!B30,"🟡 Medio","🔴 Largo")))</f>
        <v>🟡 Medio</v>
      </c>
    </row>
    <row r="136" spans="1:40" ht="18.75" customHeight="1" x14ac:dyDescent="0.25">
      <c r="A136" s="69">
        <v>132</v>
      </c>
      <c r="B136" s="30" t="s">
        <v>375</v>
      </c>
      <c r="C136" s="26" t="s">
        <v>266</v>
      </c>
      <c r="D136" s="71" t="s">
        <v>243</v>
      </c>
      <c r="E136" s="72" t="s">
        <v>376</v>
      </c>
      <c r="F136" s="74">
        <v>1</v>
      </c>
      <c r="G136" s="74">
        <v>1</v>
      </c>
      <c r="H136" s="74">
        <v>1</v>
      </c>
      <c r="I136" s="74">
        <v>1</v>
      </c>
      <c r="J136" s="74">
        <v>1</v>
      </c>
      <c r="K136" s="74">
        <v>1</v>
      </c>
      <c r="L136" s="74">
        <v>1</v>
      </c>
      <c r="M136" s="86">
        <v>3</v>
      </c>
      <c r="N136" s="74">
        <v>1</v>
      </c>
      <c r="O136" s="74">
        <v>1</v>
      </c>
      <c r="P136" s="74">
        <v>1</v>
      </c>
      <c r="Q136" s="74">
        <v>1</v>
      </c>
      <c r="R136" s="86">
        <v>5</v>
      </c>
      <c r="S136" s="86">
        <v>5</v>
      </c>
      <c r="T136" s="86">
        <v>5</v>
      </c>
      <c r="U136" s="86">
        <v>5</v>
      </c>
      <c r="V136" s="86">
        <v>5</v>
      </c>
      <c r="W136" s="86">
        <v>6</v>
      </c>
      <c r="X136" s="86">
        <v>6</v>
      </c>
      <c r="Y136" s="86">
        <v>4</v>
      </c>
      <c r="Z136" s="74">
        <v>2</v>
      </c>
      <c r="AA136" s="86">
        <v>5</v>
      </c>
      <c r="AB136" s="89">
        <f>IFERROR((30/100*MAX('⚙ Parámetros'!D15/(1+2^(-'⚙ Parámetros'!C15*(F136-'⚙ Parámetros'!B15))),'⚙ Parámetros'!G15/(1+2^(-'⚙ Parámetros'!F15*(F136-'⚙ Parámetros'!E15))),1)*F136+30/100*MAX('⚙ Parámetros'!D15/(1+2^(-'⚙ Parámetros'!C15*(G136-'⚙ Parámetros'!B15))),'⚙ Parámetros'!G15/(1+2^(-'⚙ Parámetros'!F15*(G136-'⚙ Parámetros'!E15))),1)*G136+20/100*MAX('⚙ Parámetros'!D15/(1+2^(-'⚙ Parámetros'!C15*(H136-'⚙ Parámetros'!B15))),'⚙ Parámetros'!G15/(1+2^(-'⚙ Parámetros'!F15*(H136-'⚙ Parámetros'!E15))),1)*H136+20/100*MAX('⚙ Parámetros'!D15/(1+2^(-'⚙ Parámetros'!C15*(I136-'⚙ Parámetros'!B15))),'⚙ Parámetros'!G15/(1+2^(-'⚙ Parámetros'!F15*(I136-'⚙ Parámetros'!E15))),1)*I136)/(30/100*MAX('⚙ Parámetros'!D15/(1+2^(-'⚙ Parámetros'!C15*(F136-'⚙ Parámetros'!B15))),'⚙ Parámetros'!G15/(1+2^(-'⚙ Parámetros'!F15*(F136-'⚙ Parámetros'!E15))),1)+30/100*MAX('⚙ Parámetros'!D15/(1+2^(-'⚙ Parámetros'!C15*(G136-'⚙ Parámetros'!B15))),'⚙ Parámetros'!G15/(1+2^(-'⚙ Parámetros'!F15*(G136-'⚙ Parámetros'!E15))),1)+20/100*MAX('⚙ Parámetros'!D15/(1+2^(-'⚙ Parámetros'!C15*(H136-'⚙ Parámetros'!B15))),'⚙ Parámetros'!G15/(1+2^(-'⚙ Parámetros'!F15*(H136-'⚙ Parámetros'!E15))),1)+20/100*MAX('⚙ Parámetros'!D15/(1+2^(-'⚙ Parámetros'!C15*(I136-'⚙ Parámetros'!B15))),'⚙ Parámetros'!G15/(1+2^(-'⚙ Parámetros'!F15*(I136-'⚙ Parámetros'!E15))),1)),0)</f>
        <v>1</v>
      </c>
      <c r="AC136" s="89">
        <f>IFERROR((35/100*MAX('⚙ Parámetros'!D16/(1+2^(-'⚙ Parámetros'!C16*(J136-'⚙ Parámetros'!B16))),'⚙ Parámetros'!G16/(1+2^(-'⚙ Parámetros'!F16*(J136-'⚙ Parámetros'!E16))),1)*J136+25/100*MAX('⚙ Parámetros'!D16/(1+2^(-'⚙ Parámetros'!C16*(K136-'⚙ Parámetros'!B16))),'⚙ Parámetros'!G16/(1+2^(-'⚙ Parámetros'!F16*(K136-'⚙ Parámetros'!E16))),1)*K136+20/100*MAX('⚙ Parámetros'!D16/(1+2^(-'⚙ Parámetros'!C16*(L136-'⚙ Parámetros'!B16))),'⚙ Parámetros'!G16/(1+2^(-'⚙ Parámetros'!F16*(L136-'⚙ Parámetros'!E16))),1)*L136+20/100*MAX('⚙ Parámetros'!D16/(1+2^(-'⚙ Parámetros'!C16*(M136-'⚙ Parámetros'!B16))),'⚙ Parámetros'!G16/(1+2^(-'⚙ Parámetros'!F16*(M136-'⚙ Parámetros'!E16))),1)*M136)/(35/100*MAX('⚙ Parámetros'!D16/(1+2^(-'⚙ Parámetros'!C16*(J136-'⚙ Parámetros'!B16))),'⚙ Parámetros'!G16/(1+2^(-'⚙ Parámetros'!F16*(J136-'⚙ Parámetros'!E16))),1)+25/100*MAX('⚙ Parámetros'!D16/(1+2^(-'⚙ Parámetros'!C16*(K136-'⚙ Parámetros'!B16))),'⚙ Parámetros'!G16/(1+2^(-'⚙ Parámetros'!F16*(K136-'⚙ Parámetros'!E16))),1)+20/100*MAX('⚙ Parámetros'!D16/(1+2^(-'⚙ Parámetros'!C16*(L136-'⚙ Parámetros'!B16))),'⚙ Parámetros'!G16/(1+2^(-'⚙ Parámetros'!F16*(L136-'⚙ Parámetros'!E16))),1)+20/100*MAX('⚙ Parámetros'!D16/(1+2^(-'⚙ Parámetros'!C16*(M136-'⚙ Parámetros'!B16))),'⚙ Parámetros'!G16/(1+2^(-'⚙ Parámetros'!F16*(M136-'⚙ Parámetros'!E16))),1)),0)</f>
        <v>1.4000000000000001</v>
      </c>
      <c r="AD136" s="89">
        <f>IFERROR((30/100*MAX('⚙ Parámetros'!D17/(1+2^(-'⚙ Parámetros'!C17*(N136-'⚙ Parámetros'!B17))),'⚙ Parámetros'!G17/(1+2^(-'⚙ Parámetros'!F17*(N136-'⚙ Parámetros'!E17))),1)*N136+25/100*MAX('⚙ Parámetros'!D17/(1+2^(-'⚙ Parámetros'!C17*(O136-'⚙ Parámetros'!B17))),'⚙ Parámetros'!G17/(1+2^(-'⚙ Parámetros'!F17*(O136-'⚙ Parámetros'!E17))),1)*O136+25/100*MAX('⚙ Parámetros'!D17/(1+2^(-'⚙ Parámetros'!C17*(P136-'⚙ Parámetros'!B17))),'⚙ Parámetros'!G17/(1+2^(-'⚙ Parámetros'!F17*(P136-'⚙ Parámetros'!E17))),1)*P136+20/100*MAX('⚙ Parámetros'!D17/(1+2^(-'⚙ Parámetros'!C17*(Q136-'⚙ Parámetros'!B17))),'⚙ Parámetros'!G17/(1+2^(-'⚙ Parámetros'!F17*(Q136-'⚙ Parámetros'!E17))),1)*Q136)/(30/100*MAX('⚙ Parámetros'!D17/(1+2^(-'⚙ Parámetros'!C17*(N136-'⚙ Parámetros'!B17))),'⚙ Parámetros'!G17/(1+2^(-'⚙ Parámetros'!F17*(N136-'⚙ Parámetros'!E17))),1)+25/100*MAX('⚙ Parámetros'!D17/(1+2^(-'⚙ Parámetros'!C17*(O136-'⚙ Parámetros'!B17))),'⚙ Parámetros'!G17/(1+2^(-'⚙ Parámetros'!F17*(O136-'⚙ Parámetros'!E17))),1)+25/100*MAX('⚙ Parámetros'!D17/(1+2^(-'⚙ Parámetros'!C17*(P136-'⚙ Parámetros'!B17))),'⚙ Parámetros'!G17/(1+2^(-'⚙ Parámetros'!F17*(P136-'⚙ Parámetros'!E17))),1)+20/100*MAX('⚙ Parámetros'!D17/(1+2^(-'⚙ Parámetros'!C17*(Q136-'⚙ Parámetros'!B17))),'⚙ Parámetros'!G17/(1+2^(-'⚙ Parámetros'!F17*(Q136-'⚙ Parámetros'!E17))),1)),0)</f>
        <v>1</v>
      </c>
      <c r="AE136" s="89">
        <f>IFERROR((30/100*MAX('⚙ Parámetros'!D18/(1+2^(-'⚙ Parámetros'!C18*(R136-'⚙ Parámetros'!B18))),'⚙ Parámetros'!G18/(1+2^(-'⚙ Parámetros'!F18*(R136-'⚙ Parámetros'!E18))),1)*R136+30/100*MAX('⚙ Parámetros'!D18/(1+2^(-'⚙ Parámetros'!C18*(S136-'⚙ Parámetros'!B18))),'⚙ Parámetros'!G18/(1+2^(-'⚙ Parámetros'!F18*(S136-'⚙ Parámetros'!E18))),1)*S136+20/100*MAX('⚙ Parámetros'!D18/(1+2^(-'⚙ Parámetros'!C18*(T136-'⚙ Parámetros'!B18))),'⚙ Parámetros'!G18/(1+2^(-'⚙ Parámetros'!F18*(T136-'⚙ Parámetros'!E18))),1)*T136+20/100*MAX('⚙ Parámetros'!D18/(1+2^(-'⚙ Parámetros'!C18*(U136-'⚙ Parámetros'!B18))),'⚙ Parámetros'!G18/(1+2^(-'⚙ Parámetros'!F18*(U136-'⚙ Parámetros'!E18))),1)*U136)/(30/100*MAX('⚙ Parámetros'!D18/(1+2^(-'⚙ Parámetros'!C18*(R136-'⚙ Parámetros'!B18))),'⚙ Parámetros'!G18/(1+2^(-'⚙ Parámetros'!F18*(R136-'⚙ Parámetros'!E18))),1)+30/100*MAX('⚙ Parámetros'!D18/(1+2^(-'⚙ Parámetros'!C18*(S136-'⚙ Parámetros'!B18))),'⚙ Parámetros'!G18/(1+2^(-'⚙ Parámetros'!F18*(S136-'⚙ Parámetros'!E18))),1)+20/100*MAX('⚙ Parámetros'!D18/(1+2^(-'⚙ Parámetros'!C18*(T136-'⚙ Parámetros'!B18))),'⚙ Parámetros'!G18/(1+2^(-'⚙ Parámetros'!F18*(T136-'⚙ Parámetros'!E18))),1)+20/100*MAX('⚙ Parámetros'!D18/(1+2^(-'⚙ Parámetros'!C18*(U136-'⚙ Parámetros'!B18))),'⚙ Parámetros'!G18/(1+2^(-'⚙ Parámetros'!F18*(U136-'⚙ Parámetros'!E18))),1)),0)</f>
        <v>5</v>
      </c>
      <c r="AF136" s="89">
        <f>IFERROR((30/100*MAX('⚙ Parámetros'!D19/(1+2^(-'⚙ Parámetros'!C19*(V136-'⚙ Parámetros'!B19))),'⚙ Parámetros'!G19/(1+2^(-'⚙ Parámetros'!F19*(V136-'⚙ Parámetros'!E19))),1)*V136+35/100*MAX('⚙ Parámetros'!D19/(1+2^(-'⚙ Parámetros'!C19*(W136-'⚙ Parámetros'!B19))),'⚙ Parámetros'!G19/(1+2^(-'⚙ Parámetros'!F19*(W136-'⚙ Parámetros'!E19))),1)*W136+35/100*MAX('⚙ Parámetros'!D19/(1+2^(-'⚙ Parámetros'!C19*(X136-'⚙ Parámetros'!B19))),'⚙ Parámetros'!G19/(1+2^(-'⚙ Parámetros'!F19*(X136-'⚙ Parámetros'!E19))),1)*X136)/(30/100*MAX('⚙ Parámetros'!D19/(1+2^(-'⚙ Parámetros'!C19*(V136-'⚙ Parámetros'!B19))),'⚙ Parámetros'!G19/(1+2^(-'⚙ Parámetros'!F19*(V136-'⚙ Parámetros'!E19))),1)+35/100*MAX('⚙ Parámetros'!D19/(1+2^(-'⚙ Parámetros'!C19*(W136-'⚙ Parámetros'!B19))),'⚙ Parámetros'!G19/(1+2^(-'⚙ Parámetros'!F19*(W136-'⚙ Parámetros'!E19))),1)+35/100*MAX('⚙ Parámetros'!D19/(1+2^(-'⚙ Parámetros'!C19*(X136-'⚙ Parámetros'!B19))),'⚙ Parámetros'!G19/(1+2^(-'⚙ Parámetros'!F19*(X136-'⚙ Parámetros'!E19))),1)),0)</f>
        <v>5.7368421052631575</v>
      </c>
      <c r="AG136" s="89">
        <f>IFERROR((35/100*MAX('⚙ Parámetros'!D20/(1+2^(-'⚙ Parámetros'!C20*(Y136-'⚙ Parámetros'!B20))),'⚙ Parámetros'!G20/(1+2^(-'⚙ Parámetros'!F20*(Y136-'⚙ Parámetros'!E20))),1)*Y136+35/100*MAX('⚙ Parámetros'!D20/(1+2^(-'⚙ Parámetros'!C20*(Z136-'⚙ Parámetros'!B20))),'⚙ Parámetros'!G20/(1+2^(-'⚙ Parámetros'!F20*(Z136-'⚙ Parámetros'!E20))),1)*Z136+30/100*MAX('⚙ Parámetros'!D20/(1+2^(-'⚙ Parámetros'!C20*(AA136-'⚙ Parámetros'!B20))),'⚙ Parámetros'!G20/(1+2^(-'⚙ Parámetros'!F20*(AA136-'⚙ Parámetros'!E20))),1)*AA136)/(35/100*MAX('⚙ Parámetros'!D20/(1+2^(-'⚙ Parámetros'!C20*(Y136-'⚙ Parámetros'!B20))),'⚙ Parámetros'!G20/(1+2^(-'⚙ Parámetros'!F20*(Y136-'⚙ Parámetros'!E20))),1)+35/100*MAX('⚙ Parámetros'!D20/(1+2^(-'⚙ Parámetros'!C20*(Z136-'⚙ Parámetros'!B20))),'⚙ Parámetros'!G20/(1+2^(-'⚙ Parámetros'!F20*(Z136-'⚙ Parámetros'!E20))),1)+30/100*MAX('⚙ Parámetros'!D20/(1+2^(-'⚙ Parámetros'!C20*(AA136-'⚙ Parámetros'!B20))),'⚙ Parámetros'!G20/(1+2^(-'⚙ Parámetros'!F20*(AA136-'⚙ Parámetros'!E20))),1)),0)</f>
        <v>3.7272727272727275</v>
      </c>
      <c r="AH136" s="90">
        <f>('⚙ Parámetros'!B5/100*AB136+'⚙ Parámetros'!B6/100*AC136+'⚙ Parámetros'!B7/100*AD136+'⚙ Parámetros'!B8/100*AE136+'⚙ Parámetros'!B9/100*AF136+'⚙ Parámetros'!B10/100*AG136)</f>
        <v>2.2518660287081338</v>
      </c>
      <c r="AI136" s="91">
        <f ca="1">MIN(1+MAX(0,TODAY()-DATE(2025,7,18))/365*'⚙ Parámetros'!B33,'⚙ Parámetros'!B34)</f>
        <v>1.1352054794520547</v>
      </c>
      <c r="AJ136" s="82">
        <f t="shared" ca="1" si="8"/>
        <v>2.5563306547814113</v>
      </c>
      <c r="AK136" s="92" t="str">
        <f ca="1">IF(AB136&gt;='⚙ Parámetros'!B23,"⚑ AUTO-PRIOR.(D1≥8)",IF(AJ136&gt;='⚙ Parámetros'!B23,"PRIORITARIO",IF(AJ136&gt;='⚙ Parámetros'!B24,"ALTA PRIORIDAD",IF(AJ136&gt;='⚙ Parámetros'!B25,"PRIORIDAD MEDIA",IF(AJ136&gt;='⚙ Parámetros'!B26,"BAJA PRIORIDAD","DESCARTAR")))))</f>
        <v>DESCARTAR</v>
      </c>
      <c r="AL136" s="69" t="str">
        <f t="shared" si="9"/>
        <v>—</v>
      </c>
      <c r="AM136" s="85">
        <v>13</v>
      </c>
      <c r="AN136" s="83" t="str">
        <f>IF(AM136="","—",IF(AM136&lt;'⚙ Parámetros'!B29,"🟢 Corto",IF(AM136&lt;'⚙ Parámetros'!B30,"🟡 Medio","🔴 Largo")))</f>
        <v>🟢 Corto</v>
      </c>
    </row>
    <row r="137" spans="1:40" ht="18.75" customHeight="1" x14ac:dyDescent="0.25">
      <c r="A137" s="69">
        <v>133</v>
      </c>
      <c r="B137" s="70" t="s">
        <v>377</v>
      </c>
      <c r="C137" s="4" t="s">
        <v>260</v>
      </c>
      <c r="D137" s="71" t="s">
        <v>167</v>
      </c>
      <c r="E137" s="72" t="s">
        <v>170</v>
      </c>
      <c r="F137" s="74">
        <v>1</v>
      </c>
      <c r="G137" s="74">
        <v>1</v>
      </c>
      <c r="H137" s="74">
        <v>1</v>
      </c>
      <c r="I137" s="74">
        <v>1</v>
      </c>
      <c r="J137" s="74">
        <v>1</v>
      </c>
      <c r="K137" s="74">
        <v>1</v>
      </c>
      <c r="L137" s="74">
        <v>1</v>
      </c>
      <c r="M137" s="73">
        <v>3</v>
      </c>
      <c r="N137" s="74">
        <v>1</v>
      </c>
      <c r="O137" s="74">
        <v>1</v>
      </c>
      <c r="P137" s="74">
        <v>1</v>
      </c>
      <c r="Q137" s="74">
        <v>1</v>
      </c>
      <c r="R137" s="73">
        <v>5</v>
      </c>
      <c r="S137" s="73">
        <v>5</v>
      </c>
      <c r="T137" s="73">
        <v>5</v>
      </c>
      <c r="U137" s="73">
        <v>5</v>
      </c>
      <c r="V137" s="73">
        <v>5</v>
      </c>
      <c r="W137" s="73">
        <v>6</v>
      </c>
      <c r="X137" s="73">
        <v>6</v>
      </c>
      <c r="Y137" s="73">
        <v>4</v>
      </c>
      <c r="Z137" s="74">
        <v>2</v>
      </c>
      <c r="AA137" s="73">
        <v>5</v>
      </c>
      <c r="AB137" s="80">
        <f>IFERROR((30/100*MAX('⚙ Parámetros'!D15/(1+2^(-'⚙ Parámetros'!C15*(F137-'⚙ Parámetros'!B15))),'⚙ Parámetros'!G15/(1+2^(-'⚙ Parámetros'!F15*(F137-'⚙ Parámetros'!E15))),1)*F137+30/100*MAX('⚙ Parámetros'!D15/(1+2^(-'⚙ Parámetros'!C15*(G137-'⚙ Parámetros'!B15))),'⚙ Parámetros'!G15/(1+2^(-'⚙ Parámetros'!F15*(G137-'⚙ Parámetros'!E15))),1)*G137+20/100*MAX('⚙ Parámetros'!D15/(1+2^(-'⚙ Parámetros'!C15*(H137-'⚙ Parámetros'!B15))),'⚙ Parámetros'!G15/(1+2^(-'⚙ Parámetros'!F15*(H137-'⚙ Parámetros'!E15))),1)*H137+20/100*MAX('⚙ Parámetros'!D15/(1+2^(-'⚙ Parámetros'!C15*(I137-'⚙ Parámetros'!B15))),'⚙ Parámetros'!G15/(1+2^(-'⚙ Parámetros'!F15*(I137-'⚙ Parámetros'!E15))),1)*I137)/(30/100*MAX('⚙ Parámetros'!D15/(1+2^(-'⚙ Parámetros'!C15*(F137-'⚙ Parámetros'!B15))),'⚙ Parámetros'!G15/(1+2^(-'⚙ Parámetros'!F15*(F137-'⚙ Parámetros'!E15))),1)+30/100*MAX('⚙ Parámetros'!D15/(1+2^(-'⚙ Parámetros'!C15*(G137-'⚙ Parámetros'!B15))),'⚙ Parámetros'!G15/(1+2^(-'⚙ Parámetros'!F15*(G137-'⚙ Parámetros'!E15))),1)+20/100*MAX('⚙ Parámetros'!D15/(1+2^(-'⚙ Parámetros'!C15*(H137-'⚙ Parámetros'!B15))),'⚙ Parámetros'!G15/(1+2^(-'⚙ Parámetros'!F15*(H137-'⚙ Parámetros'!E15))),1)+20/100*MAX('⚙ Parámetros'!D15/(1+2^(-'⚙ Parámetros'!C15*(I137-'⚙ Parámetros'!B15))),'⚙ Parámetros'!G15/(1+2^(-'⚙ Parámetros'!F15*(I137-'⚙ Parámetros'!E15))),1)),0)</f>
        <v>1</v>
      </c>
      <c r="AC137" s="80">
        <f>IFERROR((35/100*MAX('⚙ Parámetros'!D16/(1+2^(-'⚙ Parámetros'!C16*(J137-'⚙ Parámetros'!B16))),'⚙ Parámetros'!G16/(1+2^(-'⚙ Parámetros'!F16*(J137-'⚙ Parámetros'!E16))),1)*J137+25/100*MAX('⚙ Parámetros'!D16/(1+2^(-'⚙ Parámetros'!C16*(K137-'⚙ Parámetros'!B16))),'⚙ Parámetros'!G16/(1+2^(-'⚙ Parámetros'!F16*(K137-'⚙ Parámetros'!E16))),1)*K137+20/100*MAX('⚙ Parámetros'!D16/(1+2^(-'⚙ Parámetros'!C16*(L137-'⚙ Parámetros'!B16))),'⚙ Parámetros'!G16/(1+2^(-'⚙ Parámetros'!F16*(L137-'⚙ Parámetros'!E16))),1)*L137+20/100*MAX('⚙ Parámetros'!D16/(1+2^(-'⚙ Parámetros'!C16*(M137-'⚙ Parámetros'!B16))),'⚙ Parámetros'!G16/(1+2^(-'⚙ Parámetros'!F16*(M137-'⚙ Parámetros'!E16))),1)*M137)/(35/100*MAX('⚙ Parámetros'!D16/(1+2^(-'⚙ Parámetros'!C16*(J137-'⚙ Parámetros'!B16))),'⚙ Parámetros'!G16/(1+2^(-'⚙ Parámetros'!F16*(J137-'⚙ Parámetros'!E16))),1)+25/100*MAX('⚙ Parámetros'!D16/(1+2^(-'⚙ Parámetros'!C16*(K137-'⚙ Parámetros'!B16))),'⚙ Parámetros'!G16/(1+2^(-'⚙ Parámetros'!F16*(K137-'⚙ Parámetros'!E16))),1)+20/100*MAX('⚙ Parámetros'!D16/(1+2^(-'⚙ Parámetros'!C16*(L137-'⚙ Parámetros'!B16))),'⚙ Parámetros'!G16/(1+2^(-'⚙ Parámetros'!F16*(L137-'⚙ Parámetros'!E16))),1)+20/100*MAX('⚙ Parámetros'!D16/(1+2^(-'⚙ Parámetros'!C16*(M137-'⚙ Parámetros'!B16))),'⚙ Parámetros'!G16/(1+2^(-'⚙ Parámetros'!F16*(M137-'⚙ Parámetros'!E16))),1)),0)</f>
        <v>1.4000000000000001</v>
      </c>
      <c r="AD137" s="80">
        <f>IFERROR((30/100*MAX('⚙ Parámetros'!D17/(1+2^(-'⚙ Parámetros'!C17*(N137-'⚙ Parámetros'!B17))),'⚙ Parámetros'!G17/(1+2^(-'⚙ Parámetros'!F17*(N137-'⚙ Parámetros'!E17))),1)*N137+25/100*MAX('⚙ Parámetros'!D17/(1+2^(-'⚙ Parámetros'!C17*(O137-'⚙ Parámetros'!B17))),'⚙ Parámetros'!G17/(1+2^(-'⚙ Parámetros'!F17*(O137-'⚙ Parámetros'!E17))),1)*O137+25/100*MAX('⚙ Parámetros'!D17/(1+2^(-'⚙ Parámetros'!C17*(P137-'⚙ Parámetros'!B17))),'⚙ Parámetros'!G17/(1+2^(-'⚙ Parámetros'!F17*(P137-'⚙ Parámetros'!E17))),1)*P137+20/100*MAX('⚙ Parámetros'!D17/(1+2^(-'⚙ Parámetros'!C17*(Q137-'⚙ Parámetros'!B17))),'⚙ Parámetros'!G17/(1+2^(-'⚙ Parámetros'!F17*(Q137-'⚙ Parámetros'!E17))),1)*Q137)/(30/100*MAX('⚙ Parámetros'!D17/(1+2^(-'⚙ Parámetros'!C17*(N137-'⚙ Parámetros'!B17))),'⚙ Parámetros'!G17/(1+2^(-'⚙ Parámetros'!F17*(N137-'⚙ Parámetros'!E17))),1)+25/100*MAX('⚙ Parámetros'!D17/(1+2^(-'⚙ Parámetros'!C17*(O137-'⚙ Parámetros'!B17))),'⚙ Parámetros'!G17/(1+2^(-'⚙ Parámetros'!F17*(O137-'⚙ Parámetros'!E17))),1)+25/100*MAX('⚙ Parámetros'!D17/(1+2^(-'⚙ Parámetros'!C17*(P137-'⚙ Parámetros'!B17))),'⚙ Parámetros'!G17/(1+2^(-'⚙ Parámetros'!F17*(P137-'⚙ Parámetros'!E17))),1)+20/100*MAX('⚙ Parámetros'!D17/(1+2^(-'⚙ Parámetros'!C17*(Q137-'⚙ Parámetros'!B17))),'⚙ Parámetros'!G17/(1+2^(-'⚙ Parámetros'!F17*(Q137-'⚙ Parámetros'!E17))),1)),0)</f>
        <v>1</v>
      </c>
      <c r="AE137" s="80">
        <f>IFERROR((30/100*MAX('⚙ Parámetros'!D18/(1+2^(-'⚙ Parámetros'!C18*(R137-'⚙ Parámetros'!B18))),'⚙ Parámetros'!G18/(1+2^(-'⚙ Parámetros'!F18*(R137-'⚙ Parámetros'!E18))),1)*R137+30/100*MAX('⚙ Parámetros'!D18/(1+2^(-'⚙ Parámetros'!C18*(S137-'⚙ Parámetros'!B18))),'⚙ Parámetros'!G18/(1+2^(-'⚙ Parámetros'!F18*(S137-'⚙ Parámetros'!E18))),1)*S137+20/100*MAX('⚙ Parámetros'!D18/(1+2^(-'⚙ Parámetros'!C18*(T137-'⚙ Parámetros'!B18))),'⚙ Parámetros'!G18/(1+2^(-'⚙ Parámetros'!F18*(T137-'⚙ Parámetros'!E18))),1)*T137+20/100*MAX('⚙ Parámetros'!D18/(1+2^(-'⚙ Parámetros'!C18*(U137-'⚙ Parámetros'!B18))),'⚙ Parámetros'!G18/(1+2^(-'⚙ Parámetros'!F18*(U137-'⚙ Parámetros'!E18))),1)*U137)/(30/100*MAX('⚙ Parámetros'!D18/(1+2^(-'⚙ Parámetros'!C18*(R137-'⚙ Parámetros'!B18))),'⚙ Parámetros'!G18/(1+2^(-'⚙ Parámetros'!F18*(R137-'⚙ Parámetros'!E18))),1)+30/100*MAX('⚙ Parámetros'!D18/(1+2^(-'⚙ Parámetros'!C18*(S137-'⚙ Parámetros'!B18))),'⚙ Parámetros'!G18/(1+2^(-'⚙ Parámetros'!F18*(S137-'⚙ Parámetros'!E18))),1)+20/100*MAX('⚙ Parámetros'!D18/(1+2^(-'⚙ Parámetros'!C18*(T137-'⚙ Parámetros'!B18))),'⚙ Parámetros'!G18/(1+2^(-'⚙ Parámetros'!F18*(T137-'⚙ Parámetros'!E18))),1)+20/100*MAX('⚙ Parámetros'!D18/(1+2^(-'⚙ Parámetros'!C18*(U137-'⚙ Parámetros'!B18))),'⚙ Parámetros'!G18/(1+2^(-'⚙ Parámetros'!F18*(U137-'⚙ Parámetros'!E18))),1)),0)</f>
        <v>5</v>
      </c>
      <c r="AF137" s="80">
        <f>IFERROR((30/100*MAX('⚙ Parámetros'!D19/(1+2^(-'⚙ Parámetros'!C19*(V137-'⚙ Parámetros'!B19))),'⚙ Parámetros'!G19/(1+2^(-'⚙ Parámetros'!F19*(V137-'⚙ Parámetros'!E19))),1)*V137+35/100*MAX('⚙ Parámetros'!D19/(1+2^(-'⚙ Parámetros'!C19*(W137-'⚙ Parámetros'!B19))),'⚙ Parámetros'!G19/(1+2^(-'⚙ Parámetros'!F19*(W137-'⚙ Parámetros'!E19))),1)*W137+35/100*MAX('⚙ Parámetros'!D19/(1+2^(-'⚙ Parámetros'!C19*(X137-'⚙ Parámetros'!B19))),'⚙ Parámetros'!G19/(1+2^(-'⚙ Parámetros'!F19*(X137-'⚙ Parámetros'!E19))),1)*X137)/(30/100*MAX('⚙ Parámetros'!D19/(1+2^(-'⚙ Parámetros'!C19*(V137-'⚙ Parámetros'!B19))),'⚙ Parámetros'!G19/(1+2^(-'⚙ Parámetros'!F19*(V137-'⚙ Parámetros'!E19))),1)+35/100*MAX('⚙ Parámetros'!D19/(1+2^(-'⚙ Parámetros'!C19*(W137-'⚙ Parámetros'!B19))),'⚙ Parámetros'!G19/(1+2^(-'⚙ Parámetros'!F19*(W137-'⚙ Parámetros'!E19))),1)+35/100*MAX('⚙ Parámetros'!D19/(1+2^(-'⚙ Parámetros'!C19*(X137-'⚙ Parámetros'!B19))),'⚙ Parámetros'!G19/(1+2^(-'⚙ Parámetros'!F19*(X137-'⚙ Parámetros'!E19))),1)),0)</f>
        <v>5.7368421052631575</v>
      </c>
      <c r="AG137" s="80">
        <f>IFERROR((35/100*MAX('⚙ Parámetros'!D20/(1+2^(-'⚙ Parámetros'!C20*(Y137-'⚙ Parámetros'!B20))),'⚙ Parámetros'!G20/(1+2^(-'⚙ Parámetros'!F20*(Y137-'⚙ Parámetros'!E20))),1)*Y137+35/100*MAX('⚙ Parámetros'!D20/(1+2^(-'⚙ Parámetros'!C20*(Z137-'⚙ Parámetros'!B20))),'⚙ Parámetros'!G20/(1+2^(-'⚙ Parámetros'!F20*(Z137-'⚙ Parámetros'!E20))),1)*Z137+30/100*MAX('⚙ Parámetros'!D20/(1+2^(-'⚙ Parámetros'!C20*(AA137-'⚙ Parámetros'!B20))),'⚙ Parámetros'!G20/(1+2^(-'⚙ Parámetros'!F20*(AA137-'⚙ Parámetros'!E20))),1)*AA137)/(35/100*MAX('⚙ Parámetros'!D20/(1+2^(-'⚙ Parámetros'!C20*(Y137-'⚙ Parámetros'!B20))),'⚙ Parámetros'!G20/(1+2^(-'⚙ Parámetros'!F20*(Y137-'⚙ Parámetros'!E20))),1)+35/100*MAX('⚙ Parámetros'!D20/(1+2^(-'⚙ Parámetros'!C20*(Z137-'⚙ Parámetros'!B20))),'⚙ Parámetros'!G20/(1+2^(-'⚙ Parámetros'!F20*(Z137-'⚙ Parámetros'!E20))),1)+30/100*MAX('⚙ Parámetros'!D20/(1+2^(-'⚙ Parámetros'!C20*(AA137-'⚙ Parámetros'!B20))),'⚙ Parámetros'!G20/(1+2^(-'⚙ Parámetros'!F20*(AA137-'⚙ Parámetros'!E20))),1)),0)</f>
        <v>3.7272727272727275</v>
      </c>
      <c r="AH137" s="81">
        <f>('⚙ Parámetros'!B5/100*AB137+'⚙ Parámetros'!B6/100*AC137+'⚙ Parámetros'!B7/100*AD137+'⚙ Parámetros'!B8/100*AE137+'⚙ Parámetros'!B9/100*AF137+'⚙ Parámetros'!B10/100*AG137)</f>
        <v>2.2518660287081338</v>
      </c>
      <c r="AI137" s="33">
        <f ca="1">MIN(1+MAX(0,TODAY()-DATE(2025,6,10))/365*'⚙ Parámetros'!B33,'⚙ Parámetros'!B34)</f>
        <v>1.1508219178082191</v>
      </c>
      <c r="AJ137" s="82">
        <f t="shared" ca="1" si="8"/>
        <v>2.5914967818050725</v>
      </c>
      <c r="AK137" s="83" t="str">
        <f ca="1">IF(AB137&gt;='⚙ Parámetros'!B23,"⚑ AUTO-PRIOR.(D1≥8)",IF(AJ137&gt;='⚙ Parámetros'!B23,"PRIORITARIO",IF(AJ137&gt;='⚙ Parámetros'!B24,"ALTA PRIORIDAD",IF(AJ137&gt;='⚙ Parámetros'!B25,"PRIORIDAD MEDIA",IF(AJ137&gt;='⚙ Parámetros'!B26,"BAJA PRIORIDAD","DESCARTAR")))))</f>
        <v>DESCARTAR</v>
      </c>
      <c r="AL137" s="84" t="str">
        <f t="shared" si="9"/>
        <v>—</v>
      </c>
      <c r="AM137" s="85">
        <v>21</v>
      </c>
      <c r="AN137" s="83" t="str">
        <f>IF(AM137="","—",IF(AM137&lt;'⚙ Parámetros'!B29,"🟢 Corto",IF(AM137&lt;'⚙ Parámetros'!B30,"🟡 Medio","🔴 Largo")))</f>
        <v>🟢 Corto</v>
      </c>
    </row>
    <row r="138" spans="1:40" ht="18.75" customHeight="1" x14ac:dyDescent="0.25">
      <c r="A138" s="69">
        <v>134</v>
      </c>
      <c r="B138" s="30" t="s">
        <v>378</v>
      </c>
      <c r="C138" s="26" t="s">
        <v>260</v>
      </c>
      <c r="D138" s="71" t="s">
        <v>167</v>
      </c>
      <c r="E138" s="72" t="s">
        <v>170</v>
      </c>
      <c r="F138" s="74">
        <v>1</v>
      </c>
      <c r="G138" s="74">
        <v>1</v>
      </c>
      <c r="H138" s="74">
        <v>1</v>
      </c>
      <c r="I138" s="74">
        <v>1</v>
      </c>
      <c r="J138" s="74">
        <v>1</v>
      </c>
      <c r="K138" s="74">
        <v>1</v>
      </c>
      <c r="L138" s="74">
        <v>1</v>
      </c>
      <c r="M138" s="86">
        <v>3</v>
      </c>
      <c r="N138" s="74">
        <v>1</v>
      </c>
      <c r="O138" s="74">
        <v>1</v>
      </c>
      <c r="P138" s="74">
        <v>1</v>
      </c>
      <c r="Q138" s="74">
        <v>1</v>
      </c>
      <c r="R138" s="86">
        <v>5</v>
      </c>
      <c r="S138" s="86">
        <v>5</v>
      </c>
      <c r="T138" s="86">
        <v>5</v>
      </c>
      <c r="U138" s="86">
        <v>5</v>
      </c>
      <c r="V138" s="86">
        <v>5</v>
      </c>
      <c r="W138" s="86">
        <v>6</v>
      </c>
      <c r="X138" s="86">
        <v>6</v>
      </c>
      <c r="Y138" s="86">
        <v>4</v>
      </c>
      <c r="Z138" s="74">
        <v>2</v>
      </c>
      <c r="AA138" s="86">
        <v>5</v>
      </c>
      <c r="AB138" s="89">
        <f>IFERROR((30/100*MAX('⚙ Parámetros'!D15/(1+2^(-'⚙ Parámetros'!C15*(F138-'⚙ Parámetros'!B15))),'⚙ Parámetros'!G15/(1+2^(-'⚙ Parámetros'!F15*(F138-'⚙ Parámetros'!E15))),1)*F138+30/100*MAX('⚙ Parámetros'!D15/(1+2^(-'⚙ Parámetros'!C15*(G138-'⚙ Parámetros'!B15))),'⚙ Parámetros'!G15/(1+2^(-'⚙ Parámetros'!F15*(G138-'⚙ Parámetros'!E15))),1)*G138+20/100*MAX('⚙ Parámetros'!D15/(1+2^(-'⚙ Parámetros'!C15*(H138-'⚙ Parámetros'!B15))),'⚙ Parámetros'!G15/(1+2^(-'⚙ Parámetros'!F15*(H138-'⚙ Parámetros'!E15))),1)*H138+20/100*MAX('⚙ Parámetros'!D15/(1+2^(-'⚙ Parámetros'!C15*(I138-'⚙ Parámetros'!B15))),'⚙ Parámetros'!G15/(1+2^(-'⚙ Parámetros'!F15*(I138-'⚙ Parámetros'!E15))),1)*I138)/(30/100*MAX('⚙ Parámetros'!D15/(1+2^(-'⚙ Parámetros'!C15*(F138-'⚙ Parámetros'!B15))),'⚙ Parámetros'!G15/(1+2^(-'⚙ Parámetros'!F15*(F138-'⚙ Parámetros'!E15))),1)+30/100*MAX('⚙ Parámetros'!D15/(1+2^(-'⚙ Parámetros'!C15*(G138-'⚙ Parámetros'!B15))),'⚙ Parámetros'!G15/(1+2^(-'⚙ Parámetros'!F15*(G138-'⚙ Parámetros'!E15))),1)+20/100*MAX('⚙ Parámetros'!D15/(1+2^(-'⚙ Parámetros'!C15*(H138-'⚙ Parámetros'!B15))),'⚙ Parámetros'!G15/(1+2^(-'⚙ Parámetros'!F15*(H138-'⚙ Parámetros'!E15))),1)+20/100*MAX('⚙ Parámetros'!D15/(1+2^(-'⚙ Parámetros'!C15*(I138-'⚙ Parámetros'!B15))),'⚙ Parámetros'!G15/(1+2^(-'⚙ Parámetros'!F15*(I138-'⚙ Parámetros'!E15))),1)),0)</f>
        <v>1</v>
      </c>
      <c r="AC138" s="89">
        <f>IFERROR((35/100*MAX('⚙ Parámetros'!D16/(1+2^(-'⚙ Parámetros'!C16*(J138-'⚙ Parámetros'!B16))),'⚙ Parámetros'!G16/(1+2^(-'⚙ Parámetros'!F16*(J138-'⚙ Parámetros'!E16))),1)*J138+25/100*MAX('⚙ Parámetros'!D16/(1+2^(-'⚙ Parámetros'!C16*(K138-'⚙ Parámetros'!B16))),'⚙ Parámetros'!G16/(1+2^(-'⚙ Parámetros'!F16*(K138-'⚙ Parámetros'!E16))),1)*K138+20/100*MAX('⚙ Parámetros'!D16/(1+2^(-'⚙ Parámetros'!C16*(L138-'⚙ Parámetros'!B16))),'⚙ Parámetros'!G16/(1+2^(-'⚙ Parámetros'!F16*(L138-'⚙ Parámetros'!E16))),1)*L138+20/100*MAX('⚙ Parámetros'!D16/(1+2^(-'⚙ Parámetros'!C16*(M138-'⚙ Parámetros'!B16))),'⚙ Parámetros'!G16/(1+2^(-'⚙ Parámetros'!F16*(M138-'⚙ Parámetros'!E16))),1)*M138)/(35/100*MAX('⚙ Parámetros'!D16/(1+2^(-'⚙ Parámetros'!C16*(J138-'⚙ Parámetros'!B16))),'⚙ Parámetros'!G16/(1+2^(-'⚙ Parámetros'!F16*(J138-'⚙ Parámetros'!E16))),1)+25/100*MAX('⚙ Parámetros'!D16/(1+2^(-'⚙ Parámetros'!C16*(K138-'⚙ Parámetros'!B16))),'⚙ Parámetros'!G16/(1+2^(-'⚙ Parámetros'!F16*(K138-'⚙ Parámetros'!E16))),1)+20/100*MAX('⚙ Parámetros'!D16/(1+2^(-'⚙ Parámetros'!C16*(L138-'⚙ Parámetros'!B16))),'⚙ Parámetros'!G16/(1+2^(-'⚙ Parámetros'!F16*(L138-'⚙ Parámetros'!E16))),1)+20/100*MAX('⚙ Parámetros'!D16/(1+2^(-'⚙ Parámetros'!C16*(M138-'⚙ Parámetros'!B16))),'⚙ Parámetros'!G16/(1+2^(-'⚙ Parámetros'!F16*(M138-'⚙ Parámetros'!E16))),1)),0)</f>
        <v>1.4000000000000001</v>
      </c>
      <c r="AD138" s="89">
        <f>IFERROR((30/100*MAX('⚙ Parámetros'!D17/(1+2^(-'⚙ Parámetros'!C17*(N138-'⚙ Parámetros'!B17))),'⚙ Parámetros'!G17/(1+2^(-'⚙ Parámetros'!F17*(N138-'⚙ Parámetros'!E17))),1)*N138+25/100*MAX('⚙ Parámetros'!D17/(1+2^(-'⚙ Parámetros'!C17*(O138-'⚙ Parámetros'!B17))),'⚙ Parámetros'!G17/(1+2^(-'⚙ Parámetros'!F17*(O138-'⚙ Parámetros'!E17))),1)*O138+25/100*MAX('⚙ Parámetros'!D17/(1+2^(-'⚙ Parámetros'!C17*(P138-'⚙ Parámetros'!B17))),'⚙ Parámetros'!G17/(1+2^(-'⚙ Parámetros'!F17*(P138-'⚙ Parámetros'!E17))),1)*P138+20/100*MAX('⚙ Parámetros'!D17/(1+2^(-'⚙ Parámetros'!C17*(Q138-'⚙ Parámetros'!B17))),'⚙ Parámetros'!G17/(1+2^(-'⚙ Parámetros'!F17*(Q138-'⚙ Parámetros'!E17))),1)*Q138)/(30/100*MAX('⚙ Parámetros'!D17/(1+2^(-'⚙ Parámetros'!C17*(N138-'⚙ Parámetros'!B17))),'⚙ Parámetros'!G17/(1+2^(-'⚙ Parámetros'!F17*(N138-'⚙ Parámetros'!E17))),1)+25/100*MAX('⚙ Parámetros'!D17/(1+2^(-'⚙ Parámetros'!C17*(O138-'⚙ Parámetros'!B17))),'⚙ Parámetros'!G17/(1+2^(-'⚙ Parámetros'!F17*(O138-'⚙ Parámetros'!E17))),1)+25/100*MAX('⚙ Parámetros'!D17/(1+2^(-'⚙ Parámetros'!C17*(P138-'⚙ Parámetros'!B17))),'⚙ Parámetros'!G17/(1+2^(-'⚙ Parámetros'!F17*(P138-'⚙ Parámetros'!E17))),1)+20/100*MAX('⚙ Parámetros'!D17/(1+2^(-'⚙ Parámetros'!C17*(Q138-'⚙ Parámetros'!B17))),'⚙ Parámetros'!G17/(1+2^(-'⚙ Parámetros'!F17*(Q138-'⚙ Parámetros'!E17))),1)),0)</f>
        <v>1</v>
      </c>
      <c r="AE138" s="89">
        <f>IFERROR((30/100*MAX('⚙ Parámetros'!D18/(1+2^(-'⚙ Parámetros'!C18*(R138-'⚙ Parámetros'!B18))),'⚙ Parámetros'!G18/(1+2^(-'⚙ Parámetros'!F18*(R138-'⚙ Parámetros'!E18))),1)*R138+30/100*MAX('⚙ Parámetros'!D18/(1+2^(-'⚙ Parámetros'!C18*(S138-'⚙ Parámetros'!B18))),'⚙ Parámetros'!G18/(1+2^(-'⚙ Parámetros'!F18*(S138-'⚙ Parámetros'!E18))),1)*S138+20/100*MAX('⚙ Parámetros'!D18/(1+2^(-'⚙ Parámetros'!C18*(T138-'⚙ Parámetros'!B18))),'⚙ Parámetros'!G18/(1+2^(-'⚙ Parámetros'!F18*(T138-'⚙ Parámetros'!E18))),1)*T138+20/100*MAX('⚙ Parámetros'!D18/(1+2^(-'⚙ Parámetros'!C18*(U138-'⚙ Parámetros'!B18))),'⚙ Parámetros'!G18/(1+2^(-'⚙ Parámetros'!F18*(U138-'⚙ Parámetros'!E18))),1)*U138)/(30/100*MAX('⚙ Parámetros'!D18/(1+2^(-'⚙ Parámetros'!C18*(R138-'⚙ Parámetros'!B18))),'⚙ Parámetros'!G18/(1+2^(-'⚙ Parámetros'!F18*(R138-'⚙ Parámetros'!E18))),1)+30/100*MAX('⚙ Parámetros'!D18/(1+2^(-'⚙ Parámetros'!C18*(S138-'⚙ Parámetros'!B18))),'⚙ Parámetros'!G18/(1+2^(-'⚙ Parámetros'!F18*(S138-'⚙ Parámetros'!E18))),1)+20/100*MAX('⚙ Parámetros'!D18/(1+2^(-'⚙ Parámetros'!C18*(T138-'⚙ Parámetros'!B18))),'⚙ Parámetros'!G18/(1+2^(-'⚙ Parámetros'!F18*(T138-'⚙ Parámetros'!E18))),1)+20/100*MAX('⚙ Parámetros'!D18/(1+2^(-'⚙ Parámetros'!C18*(U138-'⚙ Parámetros'!B18))),'⚙ Parámetros'!G18/(1+2^(-'⚙ Parámetros'!F18*(U138-'⚙ Parámetros'!E18))),1)),0)</f>
        <v>5</v>
      </c>
      <c r="AF138" s="89">
        <f>IFERROR((30/100*MAX('⚙ Parámetros'!D19/(1+2^(-'⚙ Parámetros'!C19*(V138-'⚙ Parámetros'!B19))),'⚙ Parámetros'!G19/(1+2^(-'⚙ Parámetros'!F19*(V138-'⚙ Parámetros'!E19))),1)*V138+35/100*MAX('⚙ Parámetros'!D19/(1+2^(-'⚙ Parámetros'!C19*(W138-'⚙ Parámetros'!B19))),'⚙ Parámetros'!G19/(1+2^(-'⚙ Parámetros'!F19*(W138-'⚙ Parámetros'!E19))),1)*W138+35/100*MAX('⚙ Parámetros'!D19/(1+2^(-'⚙ Parámetros'!C19*(X138-'⚙ Parámetros'!B19))),'⚙ Parámetros'!G19/(1+2^(-'⚙ Parámetros'!F19*(X138-'⚙ Parámetros'!E19))),1)*X138)/(30/100*MAX('⚙ Parámetros'!D19/(1+2^(-'⚙ Parámetros'!C19*(V138-'⚙ Parámetros'!B19))),'⚙ Parámetros'!G19/(1+2^(-'⚙ Parámetros'!F19*(V138-'⚙ Parámetros'!E19))),1)+35/100*MAX('⚙ Parámetros'!D19/(1+2^(-'⚙ Parámetros'!C19*(W138-'⚙ Parámetros'!B19))),'⚙ Parámetros'!G19/(1+2^(-'⚙ Parámetros'!F19*(W138-'⚙ Parámetros'!E19))),1)+35/100*MAX('⚙ Parámetros'!D19/(1+2^(-'⚙ Parámetros'!C19*(X138-'⚙ Parámetros'!B19))),'⚙ Parámetros'!G19/(1+2^(-'⚙ Parámetros'!F19*(X138-'⚙ Parámetros'!E19))),1)),0)</f>
        <v>5.7368421052631575</v>
      </c>
      <c r="AG138" s="89">
        <f>IFERROR((35/100*MAX('⚙ Parámetros'!D20/(1+2^(-'⚙ Parámetros'!C20*(Y138-'⚙ Parámetros'!B20))),'⚙ Parámetros'!G20/(1+2^(-'⚙ Parámetros'!F20*(Y138-'⚙ Parámetros'!E20))),1)*Y138+35/100*MAX('⚙ Parámetros'!D20/(1+2^(-'⚙ Parámetros'!C20*(Z138-'⚙ Parámetros'!B20))),'⚙ Parámetros'!G20/(1+2^(-'⚙ Parámetros'!F20*(Z138-'⚙ Parámetros'!E20))),1)*Z138+30/100*MAX('⚙ Parámetros'!D20/(1+2^(-'⚙ Parámetros'!C20*(AA138-'⚙ Parámetros'!B20))),'⚙ Parámetros'!G20/(1+2^(-'⚙ Parámetros'!F20*(AA138-'⚙ Parámetros'!E20))),1)*AA138)/(35/100*MAX('⚙ Parámetros'!D20/(1+2^(-'⚙ Parámetros'!C20*(Y138-'⚙ Parámetros'!B20))),'⚙ Parámetros'!G20/(1+2^(-'⚙ Parámetros'!F20*(Y138-'⚙ Parámetros'!E20))),1)+35/100*MAX('⚙ Parámetros'!D20/(1+2^(-'⚙ Parámetros'!C20*(Z138-'⚙ Parámetros'!B20))),'⚙ Parámetros'!G20/(1+2^(-'⚙ Parámetros'!F20*(Z138-'⚙ Parámetros'!E20))),1)+30/100*MAX('⚙ Parámetros'!D20/(1+2^(-'⚙ Parámetros'!C20*(AA138-'⚙ Parámetros'!B20))),'⚙ Parámetros'!G20/(1+2^(-'⚙ Parámetros'!F20*(AA138-'⚙ Parámetros'!E20))),1)),0)</f>
        <v>3.7272727272727275</v>
      </c>
      <c r="AH138" s="90">
        <f>('⚙ Parámetros'!B5/100*AB138+'⚙ Parámetros'!B6/100*AC138+'⚙ Parámetros'!B7/100*AD138+'⚙ Parámetros'!B8/100*AE138+'⚙ Parámetros'!B9/100*AF138+'⚙ Parámetros'!B10/100*AG138)</f>
        <v>2.2518660287081338</v>
      </c>
      <c r="AI138" s="91">
        <f ca="1">MIN(1+MAX(0,TODAY()-DATE(2025,6,10))/365*'⚙ Parámetros'!B33,'⚙ Parámetros'!B34)</f>
        <v>1.1508219178082191</v>
      </c>
      <c r="AJ138" s="82">
        <f t="shared" ca="1" si="8"/>
        <v>2.5914967818050725</v>
      </c>
      <c r="AK138" s="92" t="str">
        <f ca="1">IF(AB138&gt;='⚙ Parámetros'!B23,"⚑ AUTO-PRIOR.(D1≥8)",IF(AJ138&gt;='⚙ Parámetros'!B23,"PRIORITARIO",IF(AJ138&gt;='⚙ Parámetros'!B24,"ALTA PRIORIDAD",IF(AJ138&gt;='⚙ Parámetros'!B25,"PRIORIDAD MEDIA",IF(AJ138&gt;='⚙ Parámetros'!B26,"BAJA PRIORIDAD","DESCARTAR")))))</f>
        <v>DESCARTAR</v>
      </c>
      <c r="AL138" s="69" t="str">
        <f t="shared" si="9"/>
        <v>—</v>
      </c>
      <c r="AM138" s="85">
        <v>30</v>
      </c>
      <c r="AN138" s="83" t="str">
        <f>IF(AM138="","—",IF(AM138&lt;'⚙ Parámetros'!B29,"🟢 Corto",IF(AM138&lt;'⚙ Parámetros'!B30,"🟡 Medio","🔴 Largo")))</f>
        <v>🟡 Medio</v>
      </c>
    </row>
    <row r="139" spans="1:40" ht="18.75" customHeight="1" x14ac:dyDescent="0.25">
      <c r="A139" s="69">
        <v>135</v>
      </c>
      <c r="B139" s="70" t="s">
        <v>379</v>
      </c>
      <c r="C139" s="4" t="s">
        <v>182</v>
      </c>
      <c r="D139" s="71" t="s">
        <v>139</v>
      </c>
      <c r="E139" s="72" t="s">
        <v>380</v>
      </c>
      <c r="F139" s="74">
        <v>1</v>
      </c>
      <c r="G139" s="74">
        <v>1</v>
      </c>
      <c r="H139" s="74">
        <v>1</v>
      </c>
      <c r="I139" s="74">
        <v>1</v>
      </c>
      <c r="J139" s="74">
        <v>1</v>
      </c>
      <c r="K139" s="74">
        <v>1</v>
      </c>
      <c r="L139" s="74">
        <v>1</v>
      </c>
      <c r="M139" s="73">
        <v>3</v>
      </c>
      <c r="N139" s="74">
        <v>1</v>
      </c>
      <c r="O139" s="74">
        <v>1</v>
      </c>
      <c r="P139" s="74">
        <v>1</v>
      </c>
      <c r="Q139" s="74">
        <v>1</v>
      </c>
      <c r="R139" s="73">
        <v>5</v>
      </c>
      <c r="S139" s="73">
        <v>5</v>
      </c>
      <c r="T139" s="73">
        <v>5</v>
      </c>
      <c r="U139" s="73">
        <v>5</v>
      </c>
      <c r="V139" s="73">
        <v>5</v>
      </c>
      <c r="W139" s="73">
        <v>6</v>
      </c>
      <c r="X139" s="73">
        <v>6</v>
      </c>
      <c r="Y139" s="73">
        <v>4</v>
      </c>
      <c r="Z139" s="74">
        <v>2</v>
      </c>
      <c r="AA139" s="73">
        <v>5</v>
      </c>
      <c r="AB139" s="80">
        <f>IFERROR((30/100*MAX('⚙ Parámetros'!D15/(1+2^(-'⚙ Parámetros'!C15*(F139-'⚙ Parámetros'!B15))),'⚙ Parámetros'!G15/(1+2^(-'⚙ Parámetros'!F15*(F139-'⚙ Parámetros'!E15))),1)*F139+30/100*MAX('⚙ Parámetros'!D15/(1+2^(-'⚙ Parámetros'!C15*(G139-'⚙ Parámetros'!B15))),'⚙ Parámetros'!G15/(1+2^(-'⚙ Parámetros'!F15*(G139-'⚙ Parámetros'!E15))),1)*G139+20/100*MAX('⚙ Parámetros'!D15/(1+2^(-'⚙ Parámetros'!C15*(H139-'⚙ Parámetros'!B15))),'⚙ Parámetros'!G15/(1+2^(-'⚙ Parámetros'!F15*(H139-'⚙ Parámetros'!E15))),1)*H139+20/100*MAX('⚙ Parámetros'!D15/(1+2^(-'⚙ Parámetros'!C15*(I139-'⚙ Parámetros'!B15))),'⚙ Parámetros'!G15/(1+2^(-'⚙ Parámetros'!F15*(I139-'⚙ Parámetros'!E15))),1)*I139)/(30/100*MAX('⚙ Parámetros'!D15/(1+2^(-'⚙ Parámetros'!C15*(F139-'⚙ Parámetros'!B15))),'⚙ Parámetros'!G15/(1+2^(-'⚙ Parámetros'!F15*(F139-'⚙ Parámetros'!E15))),1)+30/100*MAX('⚙ Parámetros'!D15/(1+2^(-'⚙ Parámetros'!C15*(G139-'⚙ Parámetros'!B15))),'⚙ Parámetros'!G15/(1+2^(-'⚙ Parámetros'!F15*(G139-'⚙ Parámetros'!E15))),1)+20/100*MAX('⚙ Parámetros'!D15/(1+2^(-'⚙ Parámetros'!C15*(H139-'⚙ Parámetros'!B15))),'⚙ Parámetros'!G15/(1+2^(-'⚙ Parámetros'!F15*(H139-'⚙ Parámetros'!E15))),1)+20/100*MAX('⚙ Parámetros'!D15/(1+2^(-'⚙ Parámetros'!C15*(I139-'⚙ Parámetros'!B15))),'⚙ Parámetros'!G15/(1+2^(-'⚙ Parámetros'!F15*(I139-'⚙ Parámetros'!E15))),1)),0)</f>
        <v>1</v>
      </c>
      <c r="AC139" s="80">
        <f>IFERROR((35/100*MAX('⚙ Parámetros'!D16/(1+2^(-'⚙ Parámetros'!C16*(J139-'⚙ Parámetros'!B16))),'⚙ Parámetros'!G16/(1+2^(-'⚙ Parámetros'!F16*(J139-'⚙ Parámetros'!E16))),1)*J139+25/100*MAX('⚙ Parámetros'!D16/(1+2^(-'⚙ Parámetros'!C16*(K139-'⚙ Parámetros'!B16))),'⚙ Parámetros'!G16/(1+2^(-'⚙ Parámetros'!F16*(K139-'⚙ Parámetros'!E16))),1)*K139+20/100*MAX('⚙ Parámetros'!D16/(1+2^(-'⚙ Parámetros'!C16*(L139-'⚙ Parámetros'!B16))),'⚙ Parámetros'!G16/(1+2^(-'⚙ Parámetros'!F16*(L139-'⚙ Parámetros'!E16))),1)*L139+20/100*MAX('⚙ Parámetros'!D16/(1+2^(-'⚙ Parámetros'!C16*(M139-'⚙ Parámetros'!B16))),'⚙ Parámetros'!G16/(1+2^(-'⚙ Parámetros'!F16*(M139-'⚙ Parámetros'!E16))),1)*M139)/(35/100*MAX('⚙ Parámetros'!D16/(1+2^(-'⚙ Parámetros'!C16*(J139-'⚙ Parámetros'!B16))),'⚙ Parámetros'!G16/(1+2^(-'⚙ Parámetros'!F16*(J139-'⚙ Parámetros'!E16))),1)+25/100*MAX('⚙ Parámetros'!D16/(1+2^(-'⚙ Parámetros'!C16*(K139-'⚙ Parámetros'!B16))),'⚙ Parámetros'!G16/(1+2^(-'⚙ Parámetros'!F16*(K139-'⚙ Parámetros'!E16))),1)+20/100*MAX('⚙ Parámetros'!D16/(1+2^(-'⚙ Parámetros'!C16*(L139-'⚙ Parámetros'!B16))),'⚙ Parámetros'!G16/(1+2^(-'⚙ Parámetros'!F16*(L139-'⚙ Parámetros'!E16))),1)+20/100*MAX('⚙ Parámetros'!D16/(1+2^(-'⚙ Parámetros'!C16*(M139-'⚙ Parámetros'!B16))),'⚙ Parámetros'!G16/(1+2^(-'⚙ Parámetros'!F16*(M139-'⚙ Parámetros'!E16))),1)),0)</f>
        <v>1.4000000000000001</v>
      </c>
      <c r="AD139" s="80">
        <f>IFERROR((30/100*MAX('⚙ Parámetros'!D17/(1+2^(-'⚙ Parámetros'!C17*(N139-'⚙ Parámetros'!B17))),'⚙ Parámetros'!G17/(1+2^(-'⚙ Parámetros'!F17*(N139-'⚙ Parámetros'!E17))),1)*N139+25/100*MAX('⚙ Parámetros'!D17/(1+2^(-'⚙ Parámetros'!C17*(O139-'⚙ Parámetros'!B17))),'⚙ Parámetros'!G17/(1+2^(-'⚙ Parámetros'!F17*(O139-'⚙ Parámetros'!E17))),1)*O139+25/100*MAX('⚙ Parámetros'!D17/(1+2^(-'⚙ Parámetros'!C17*(P139-'⚙ Parámetros'!B17))),'⚙ Parámetros'!G17/(1+2^(-'⚙ Parámetros'!F17*(P139-'⚙ Parámetros'!E17))),1)*P139+20/100*MAX('⚙ Parámetros'!D17/(1+2^(-'⚙ Parámetros'!C17*(Q139-'⚙ Parámetros'!B17))),'⚙ Parámetros'!G17/(1+2^(-'⚙ Parámetros'!F17*(Q139-'⚙ Parámetros'!E17))),1)*Q139)/(30/100*MAX('⚙ Parámetros'!D17/(1+2^(-'⚙ Parámetros'!C17*(N139-'⚙ Parámetros'!B17))),'⚙ Parámetros'!G17/(1+2^(-'⚙ Parámetros'!F17*(N139-'⚙ Parámetros'!E17))),1)+25/100*MAX('⚙ Parámetros'!D17/(1+2^(-'⚙ Parámetros'!C17*(O139-'⚙ Parámetros'!B17))),'⚙ Parámetros'!G17/(1+2^(-'⚙ Parámetros'!F17*(O139-'⚙ Parámetros'!E17))),1)+25/100*MAX('⚙ Parámetros'!D17/(1+2^(-'⚙ Parámetros'!C17*(P139-'⚙ Parámetros'!B17))),'⚙ Parámetros'!G17/(1+2^(-'⚙ Parámetros'!F17*(P139-'⚙ Parámetros'!E17))),1)+20/100*MAX('⚙ Parámetros'!D17/(1+2^(-'⚙ Parámetros'!C17*(Q139-'⚙ Parámetros'!B17))),'⚙ Parámetros'!G17/(1+2^(-'⚙ Parámetros'!F17*(Q139-'⚙ Parámetros'!E17))),1)),0)</f>
        <v>1</v>
      </c>
      <c r="AE139" s="80">
        <f>IFERROR((30/100*MAX('⚙ Parámetros'!D18/(1+2^(-'⚙ Parámetros'!C18*(R139-'⚙ Parámetros'!B18))),'⚙ Parámetros'!G18/(1+2^(-'⚙ Parámetros'!F18*(R139-'⚙ Parámetros'!E18))),1)*R139+30/100*MAX('⚙ Parámetros'!D18/(1+2^(-'⚙ Parámetros'!C18*(S139-'⚙ Parámetros'!B18))),'⚙ Parámetros'!G18/(1+2^(-'⚙ Parámetros'!F18*(S139-'⚙ Parámetros'!E18))),1)*S139+20/100*MAX('⚙ Parámetros'!D18/(1+2^(-'⚙ Parámetros'!C18*(T139-'⚙ Parámetros'!B18))),'⚙ Parámetros'!G18/(1+2^(-'⚙ Parámetros'!F18*(T139-'⚙ Parámetros'!E18))),1)*T139+20/100*MAX('⚙ Parámetros'!D18/(1+2^(-'⚙ Parámetros'!C18*(U139-'⚙ Parámetros'!B18))),'⚙ Parámetros'!G18/(1+2^(-'⚙ Parámetros'!F18*(U139-'⚙ Parámetros'!E18))),1)*U139)/(30/100*MAX('⚙ Parámetros'!D18/(1+2^(-'⚙ Parámetros'!C18*(R139-'⚙ Parámetros'!B18))),'⚙ Parámetros'!G18/(1+2^(-'⚙ Parámetros'!F18*(R139-'⚙ Parámetros'!E18))),1)+30/100*MAX('⚙ Parámetros'!D18/(1+2^(-'⚙ Parámetros'!C18*(S139-'⚙ Parámetros'!B18))),'⚙ Parámetros'!G18/(1+2^(-'⚙ Parámetros'!F18*(S139-'⚙ Parámetros'!E18))),1)+20/100*MAX('⚙ Parámetros'!D18/(1+2^(-'⚙ Parámetros'!C18*(T139-'⚙ Parámetros'!B18))),'⚙ Parámetros'!G18/(1+2^(-'⚙ Parámetros'!F18*(T139-'⚙ Parámetros'!E18))),1)+20/100*MAX('⚙ Parámetros'!D18/(1+2^(-'⚙ Parámetros'!C18*(U139-'⚙ Parámetros'!B18))),'⚙ Parámetros'!G18/(1+2^(-'⚙ Parámetros'!F18*(U139-'⚙ Parámetros'!E18))),1)),0)</f>
        <v>5</v>
      </c>
      <c r="AF139" s="80">
        <f>IFERROR((30/100*MAX('⚙ Parámetros'!D19/(1+2^(-'⚙ Parámetros'!C19*(V139-'⚙ Parámetros'!B19))),'⚙ Parámetros'!G19/(1+2^(-'⚙ Parámetros'!F19*(V139-'⚙ Parámetros'!E19))),1)*V139+35/100*MAX('⚙ Parámetros'!D19/(1+2^(-'⚙ Parámetros'!C19*(W139-'⚙ Parámetros'!B19))),'⚙ Parámetros'!G19/(1+2^(-'⚙ Parámetros'!F19*(W139-'⚙ Parámetros'!E19))),1)*W139+35/100*MAX('⚙ Parámetros'!D19/(1+2^(-'⚙ Parámetros'!C19*(X139-'⚙ Parámetros'!B19))),'⚙ Parámetros'!G19/(1+2^(-'⚙ Parámetros'!F19*(X139-'⚙ Parámetros'!E19))),1)*X139)/(30/100*MAX('⚙ Parámetros'!D19/(1+2^(-'⚙ Parámetros'!C19*(V139-'⚙ Parámetros'!B19))),'⚙ Parámetros'!G19/(1+2^(-'⚙ Parámetros'!F19*(V139-'⚙ Parámetros'!E19))),1)+35/100*MAX('⚙ Parámetros'!D19/(1+2^(-'⚙ Parámetros'!C19*(W139-'⚙ Parámetros'!B19))),'⚙ Parámetros'!G19/(1+2^(-'⚙ Parámetros'!F19*(W139-'⚙ Parámetros'!E19))),1)+35/100*MAX('⚙ Parámetros'!D19/(1+2^(-'⚙ Parámetros'!C19*(X139-'⚙ Parámetros'!B19))),'⚙ Parámetros'!G19/(1+2^(-'⚙ Parámetros'!F19*(X139-'⚙ Parámetros'!E19))),1)),0)</f>
        <v>5.7368421052631575</v>
      </c>
      <c r="AG139" s="80">
        <f>IFERROR((35/100*MAX('⚙ Parámetros'!D20/(1+2^(-'⚙ Parámetros'!C20*(Y139-'⚙ Parámetros'!B20))),'⚙ Parámetros'!G20/(1+2^(-'⚙ Parámetros'!F20*(Y139-'⚙ Parámetros'!E20))),1)*Y139+35/100*MAX('⚙ Parámetros'!D20/(1+2^(-'⚙ Parámetros'!C20*(Z139-'⚙ Parámetros'!B20))),'⚙ Parámetros'!G20/(1+2^(-'⚙ Parámetros'!F20*(Z139-'⚙ Parámetros'!E20))),1)*Z139+30/100*MAX('⚙ Parámetros'!D20/(1+2^(-'⚙ Parámetros'!C20*(AA139-'⚙ Parámetros'!B20))),'⚙ Parámetros'!G20/(1+2^(-'⚙ Parámetros'!F20*(AA139-'⚙ Parámetros'!E20))),1)*AA139)/(35/100*MAX('⚙ Parámetros'!D20/(1+2^(-'⚙ Parámetros'!C20*(Y139-'⚙ Parámetros'!B20))),'⚙ Parámetros'!G20/(1+2^(-'⚙ Parámetros'!F20*(Y139-'⚙ Parámetros'!E20))),1)+35/100*MAX('⚙ Parámetros'!D20/(1+2^(-'⚙ Parámetros'!C20*(Z139-'⚙ Parámetros'!B20))),'⚙ Parámetros'!G20/(1+2^(-'⚙ Parámetros'!F20*(Z139-'⚙ Parámetros'!E20))),1)+30/100*MAX('⚙ Parámetros'!D20/(1+2^(-'⚙ Parámetros'!C20*(AA139-'⚙ Parámetros'!B20))),'⚙ Parámetros'!G20/(1+2^(-'⚙ Parámetros'!F20*(AA139-'⚙ Parámetros'!E20))),1)),0)</f>
        <v>3.7272727272727275</v>
      </c>
      <c r="AH139" s="81">
        <f>('⚙ Parámetros'!B5/100*AB139+'⚙ Parámetros'!B6/100*AC139+'⚙ Parámetros'!B7/100*AD139+'⚙ Parámetros'!B8/100*AE139+'⚙ Parámetros'!B9/100*AF139+'⚙ Parámetros'!B10/100*AG139)</f>
        <v>2.2518660287081338</v>
      </c>
      <c r="AI139" s="33">
        <f ca="1">MIN(1+MAX(0,TODAY()-DATE(2025,3,11))/365*'⚙ Parámetros'!B33,'⚙ Parámetros'!B34)</f>
        <v>1.1882191780821918</v>
      </c>
      <c r="AJ139" s="82">
        <f t="shared" ca="1" si="8"/>
        <v>2.675710401782788</v>
      </c>
      <c r="AK139" s="83" t="str">
        <f ca="1">IF(AB139&gt;='⚙ Parámetros'!B23,"⚑ AUTO-PRIOR.(D1≥8)",IF(AJ139&gt;='⚙ Parámetros'!B23,"PRIORITARIO",IF(AJ139&gt;='⚙ Parámetros'!B24,"ALTA PRIORIDAD",IF(AJ139&gt;='⚙ Parámetros'!B25,"PRIORIDAD MEDIA",IF(AJ139&gt;='⚙ Parámetros'!B26,"BAJA PRIORIDAD","DESCARTAR")))))</f>
        <v>DESCARTAR</v>
      </c>
      <c r="AL139" s="84" t="str">
        <f t="shared" si="9"/>
        <v>—</v>
      </c>
      <c r="AM139" s="85">
        <v>39</v>
      </c>
      <c r="AN139" s="83" t="str">
        <f>IF(AM139="","—",IF(AM139&lt;'⚙ Parámetros'!B29,"🟢 Corto",IF(AM139&lt;'⚙ Parámetros'!B30,"🟡 Medio","🔴 Largo")))</f>
        <v>🟡 Medio</v>
      </c>
    </row>
    <row r="140" spans="1:40" ht="15" customHeight="1" x14ac:dyDescent="0.25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94"/>
      <c r="AL140" s="94"/>
      <c r="AM140" s="94"/>
      <c r="AN140" s="94"/>
    </row>
    <row r="141" spans="1:40" ht="15" customHeight="1" x14ac:dyDescent="0.25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  <c r="AB141" s="94"/>
      <c r="AC141" s="94"/>
      <c r="AD141" s="94"/>
      <c r="AE141" s="94"/>
      <c r="AF141" s="94"/>
      <c r="AG141" s="94"/>
      <c r="AH141" s="94"/>
      <c r="AI141" s="94"/>
      <c r="AJ141" s="94"/>
      <c r="AK141" s="94"/>
      <c r="AL141" s="94"/>
      <c r="AM141" s="94"/>
      <c r="AN141" s="94"/>
    </row>
    <row r="142" spans="1:40" ht="15" customHeight="1" x14ac:dyDescent="0.25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94"/>
      <c r="AG142" s="94"/>
      <c r="AH142" s="94"/>
      <c r="AI142" s="94"/>
      <c r="AJ142" s="94"/>
      <c r="AK142" s="94"/>
      <c r="AL142" s="94"/>
      <c r="AM142" s="94"/>
      <c r="AN142" s="94"/>
    </row>
    <row r="143" spans="1:40" ht="15" customHeight="1" x14ac:dyDescent="0.25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  <c r="AB143" s="94"/>
      <c r="AC143" s="94"/>
      <c r="AD143" s="94"/>
      <c r="AE143" s="94"/>
      <c r="AF143" s="94"/>
      <c r="AG143" s="94"/>
      <c r="AH143" s="94"/>
      <c r="AI143" s="94"/>
      <c r="AJ143" s="94"/>
      <c r="AK143" s="94"/>
      <c r="AL143" s="94"/>
      <c r="AM143" s="94"/>
      <c r="AN143" s="94"/>
    </row>
    <row r="144" spans="1:40" ht="15" customHeight="1" x14ac:dyDescent="0.25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  <c r="AB144" s="94"/>
      <c r="AC144" s="94"/>
      <c r="AD144" s="94"/>
      <c r="AE144" s="94"/>
      <c r="AF144" s="94"/>
      <c r="AG144" s="94"/>
      <c r="AH144" s="94"/>
      <c r="AI144" s="94"/>
      <c r="AJ144" s="94"/>
      <c r="AK144" s="94"/>
      <c r="AL144" s="94"/>
      <c r="AM144" s="94"/>
      <c r="AN144" s="94"/>
    </row>
    <row r="145" spans="1:40" ht="15" customHeight="1" x14ac:dyDescent="0.25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  <c r="AG145" s="94"/>
      <c r="AH145" s="94"/>
      <c r="AI145" s="94"/>
      <c r="AJ145" s="94"/>
      <c r="AK145" s="94"/>
      <c r="AL145" s="94"/>
      <c r="AM145" s="94"/>
      <c r="AN145" s="94"/>
    </row>
    <row r="146" spans="1:40" ht="15" customHeight="1" x14ac:dyDescent="0.25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  <c r="AG146" s="94"/>
      <c r="AH146" s="94"/>
      <c r="AI146" s="94"/>
      <c r="AJ146" s="94"/>
      <c r="AK146" s="94"/>
      <c r="AL146" s="94"/>
      <c r="AM146" s="94"/>
      <c r="AN146" s="94"/>
    </row>
    <row r="147" spans="1:40" ht="15" customHeight="1" x14ac:dyDescent="0.25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  <c r="AG147" s="94"/>
      <c r="AH147" s="94"/>
      <c r="AI147" s="94"/>
      <c r="AJ147" s="94"/>
      <c r="AK147" s="94"/>
      <c r="AL147" s="94"/>
      <c r="AM147" s="94"/>
      <c r="AN147" s="94"/>
    </row>
    <row r="148" spans="1:40" ht="15" customHeight="1" x14ac:dyDescent="0.25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  <c r="AG148" s="94"/>
      <c r="AH148" s="94"/>
      <c r="AI148" s="94"/>
      <c r="AJ148" s="94"/>
      <c r="AK148" s="94"/>
      <c r="AL148" s="94"/>
      <c r="AM148" s="94"/>
      <c r="AN148" s="94"/>
    </row>
    <row r="149" spans="1:40" ht="15" customHeight="1" x14ac:dyDescent="0.25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AF149" s="94"/>
      <c r="AG149" s="94"/>
      <c r="AH149" s="94"/>
      <c r="AI149" s="94"/>
      <c r="AJ149" s="94"/>
      <c r="AK149" s="94"/>
      <c r="AL149" s="94"/>
      <c r="AM149" s="94"/>
      <c r="AN149" s="94"/>
    </row>
    <row r="150" spans="1:40" ht="15" customHeight="1" x14ac:dyDescent="0.25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  <c r="AG150" s="94"/>
      <c r="AH150" s="94"/>
      <c r="AI150" s="94"/>
      <c r="AJ150" s="94"/>
      <c r="AK150" s="94"/>
      <c r="AL150" s="94"/>
      <c r="AM150" s="94"/>
      <c r="AN150" s="94"/>
    </row>
    <row r="151" spans="1:40" ht="15" customHeight="1" x14ac:dyDescent="0.25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AF151" s="94"/>
      <c r="AG151" s="94"/>
      <c r="AH151" s="94"/>
      <c r="AI151" s="94"/>
      <c r="AJ151" s="94"/>
      <c r="AK151" s="94"/>
      <c r="AL151" s="94"/>
      <c r="AM151" s="94"/>
      <c r="AN151" s="94"/>
    </row>
    <row r="152" spans="1:40" ht="15" customHeight="1" x14ac:dyDescent="0.25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  <c r="AF152" s="94"/>
      <c r="AG152" s="94"/>
      <c r="AH152" s="94"/>
      <c r="AI152" s="94"/>
      <c r="AJ152" s="94"/>
      <c r="AK152" s="94"/>
      <c r="AL152" s="94"/>
      <c r="AM152" s="94"/>
      <c r="AN152" s="94"/>
    </row>
    <row r="153" spans="1:40" ht="15" customHeight="1" x14ac:dyDescent="0.25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  <c r="AB153" s="94"/>
      <c r="AC153" s="94"/>
      <c r="AD153" s="94"/>
      <c r="AE153" s="94"/>
      <c r="AF153" s="94"/>
      <c r="AG153" s="94"/>
      <c r="AH153" s="94"/>
      <c r="AI153" s="94"/>
      <c r="AJ153" s="94"/>
      <c r="AK153" s="94"/>
      <c r="AL153" s="94"/>
      <c r="AM153" s="94"/>
      <c r="AN153" s="94"/>
    </row>
    <row r="154" spans="1:40" ht="15" customHeight="1" x14ac:dyDescent="0.25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  <c r="AG154" s="94"/>
      <c r="AH154" s="94"/>
      <c r="AI154" s="94"/>
      <c r="AJ154" s="94"/>
      <c r="AK154" s="94"/>
      <c r="AL154" s="94"/>
      <c r="AM154" s="94"/>
      <c r="AN154" s="94"/>
    </row>
    <row r="155" spans="1:40" ht="15" customHeight="1" x14ac:dyDescent="0.25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  <c r="AB155" s="94"/>
      <c r="AC155" s="94"/>
      <c r="AD155" s="94"/>
      <c r="AE155" s="94"/>
      <c r="AF155" s="94"/>
      <c r="AG155" s="94"/>
      <c r="AH155" s="94"/>
      <c r="AI155" s="94"/>
      <c r="AJ155" s="94"/>
      <c r="AK155" s="94"/>
      <c r="AL155" s="94"/>
      <c r="AM155" s="94"/>
      <c r="AN155" s="94"/>
    </row>
    <row r="156" spans="1:40" ht="15" customHeight="1" x14ac:dyDescent="0.25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  <c r="AG156" s="94"/>
      <c r="AH156" s="94"/>
      <c r="AI156" s="94"/>
      <c r="AJ156" s="94"/>
      <c r="AK156" s="94"/>
      <c r="AL156" s="94"/>
      <c r="AM156" s="94"/>
      <c r="AN156" s="94"/>
    </row>
    <row r="157" spans="1:40" ht="15" customHeight="1" x14ac:dyDescent="0.25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  <c r="AG157" s="94"/>
      <c r="AH157" s="94"/>
      <c r="AI157" s="94"/>
      <c r="AJ157" s="94"/>
      <c r="AK157" s="94"/>
      <c r="AL157" s="94"/>
      <c r="AM157" s="94"/>
      <c r="AN157" s="94"/>
    </row>
    <row r="158" spans="1:40" ht="15" customHeight="1" x14ac:dyDescent="0.25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  <c r="AB158" s="94"/>
      <c r="AC158" s="94"/>
      <c r="AD158" s="94"/>
      <c r="AE158" s="94"/>
      <c r="AF158" s="94"/>
      <c r="AG158" s="94"/>
      <c r="AH158" s="94"/>
      <c r="AI158" s="94"/>
      <c r="AJ158" s="94"/>
      <c r="AK158" s="94"/>
      <c r="AL158" s="94"/>
      <c r="AM158" s="94"/>
      <c r="AN158" s="94"/>
    </row>
    <row r="159" spans="1:40" ht="15" customHeight="1" x14ac:dyDescent="0.25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  <c r="AG159" s="94"/>
      <c r="AH159" s="94"/>
      <c r="AI159" s="94"/>
      <c r="AJ159" s="94"/>
      <c r="AK159" s="94"/>
      <c r="AL159" s="94"/>
      <c r="AM159" s="94"/>
      <c r="AN159" s="94"/>
    </row>
    <row r="160" spans="1:40" ht="15" customHeight="1" x14ac:dyDescent="0.25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  <c r="AK160" s="94"/>
      <c r="AL160" s="94"/>
      <c r="AM160" s="94"/>
      <c r="AN160" s="94"/>
    </row>
    <row r="161" spans="1:40" ht="15" customHeight="1" x14ac:dyDescent="0.25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  <c r="AG161" s="94"/>
      <c r="AH161" s="94"/>
      <c r="AI161" s="94"/>
      <c r="AJ161" s="94"/>
      <c r="AK161" s="94"/>
      <c r="AL161" s="94"/>
      <c r="AM161" s="94"/>
      <c r="AN161" s="94"/>
    </row>
    <row r="162" spans="1:40" ht="15" customHeight="1" x14ac:dyDescent="0.25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  <c r="AB162" s="94"/>
      <c r="AC162" s="94"/>
      <c r="AD162" s="94"/>
      <c r="AE162" s="94"/>
      <c r="AF162" s="94"/>
      <c r="AG162" s="94"/>
      <c r="AH162" s="94"/>
      <c r="AI162" s="94"/>
      <c r="AJ162" s="94"/>
      <c r="AK162" s="94"/>
      <c r="AL162" s="94"/>
      <c r="AM162" s="94"/>
      <c r="AN162" s="94"/>
    </row>
    <row r="163" spans="1:40" ht="15" customHeight="1" x14ac:dyDescent="0.25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  <c r="AG163" s="94"/>
      <c r="AH163" s="94"/>
      <c r="AI163" s="94"/>
      <c r="AJ163" s="94"/>
      <c r="AK163" s="94"/>
      <c r="AL163" s="94"/>
      <c r="AM163" s="94"/>
      <c r="AN163" s="94"/>
    </row>
    <row r="164" spans="1:40" ht="15" customHeight="1" x14ac:dyDescent="0.25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  <c r="AG164" s="94"/>
      <c r="AH164" s="94"/>
      <c r="AI164" s="94"/>
      <c r="AJ164" s="94"/>
      <c r="AK164" s="94"/>
      <c r="AL164" s="94"/>
      <c r="AM164" s="94"/>
      <c r="AN164" s="94"/>
    </row>
    <row r="165" spans="1:40" ht="15" customHeight="1" x14ac:dyDescent="0.25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  <c r="AG165" s="94"/>
      <c r="AH165" s="94"/>
      <c r="AI165" s="94"/>
      <c r="AJ165" s="94"/>
      <c r="AK165" s="94"/>
      <c r="AL165" s="94"/>
      <c r="AM165" s="94"/>
      <c r="AN165" s="94"/>
    </row>
    <row r="166" spans="1:40" ht="15" customHeight="1" x14ac:dyDescent="0.25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  <c r="AG166" s="94"/>
      <c r="AH166" s="94"/>
      <c r="AI166" s="94"/>
      <c r="AJ166" s="94"/>
      <c r="AK166" s="94"/>
      <c r="AL166" s="94"/>
      <c r="AM166" s="94"/>
      <c r="AN166" s="94"/>
    </row>
    <row r="167" spans="1:40" ht="15" customHeight="1" x14ac:dyDescent="0.25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  <c r="AK167" s="94"/>
      <c r="AL167" s="94"/>
      <c r="AM167" s="94"/>
      <c r="AN167" s="94"/>
    </row>
    <row r="168" spans="1:40" ht="15" customHeight="1" x14ac:dyDescent="0.25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94"/>
      <c r="AH168" s="94"/>
      <c r="AI168" s="94"/>
      <c r="AJ168" s="94"/>
      <c r="AK168" s="94"/>
      <c r="AL168" s="94"/>
      <c r="AM168" s="94"/>
      <c r="AN168" s="94"/>
    </row>
    <row r="169" spans="1:40" ht="15" customHeight="1" x14ac:dyDescent="0.25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  <c r="AG169" s="94"/>
      <c r="AH169" s="94"/>
      <c r="AI169" s="94"/>
      <c r="AJ169" s="94"/>
      <c r="AK169" s="94"/>
      <c r="AL169" s="94"/>
      <c r="AM169" s="94"/>
      <c r="AN169" s="94"/>
    </row>
    <row r="170" spans="1:40" ht="15" customHeight="1" x14ac:dyDescent="0.25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  <c r="AG170" s="94"/>
      <c r="AH170" s="94"/>
      <c r="AI170" s="94"/>
      <c r="AJ170" s="94"/>
      <c r="AK170" s="94"/>
      <c r="AL170" s="94"/>
      <c r="AM170" s="94"/>
      <c r="AN170" s="94"/>
    </row>
    <row r="171" spans="1:40" ht="15" customHeight="1" x14ac:dyDescent="0.25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94"/>
      <c r="AH171" s="94"/>
      <c r="AI171" s="94"/>
      <c r="AJ171" s="94"/>
      <c r="AK171" s="94"/>
      <c r="AL171" s="94"/>
      <c r="AM171" s="94"/>
      <c r="AN171" s="94"/>
    </row>
    <row r="172" spans="1:40" ht="15" customHeight="1" x14ac:dyDescent="0.25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  <c r="AG172" s="94"/>
      <c r="AH172" s="94"/>
      <c r="AI172" s="94"/>
      <c r="AJ172" s="94"/>
      <c r="AK172" s="94"/>
      <c r="AL172" s="94"/>
      <c r="AM172" s="94"/>
      <c r="AN172" s="94"/>
    </row>
    <row r="173" spans="1:40" ht="15" customHeight="1" x14ac:dyDescent="0.25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  <c r="AB173" s="94"/>
      <c r="AC173" s="94"/>
      <c r="AD173" s="94"/>
      <c r="AE173" s="94"/>
      <c r="AF173" s="94"/>
      <c r="AG173" s="94"/>
      <c r="AH173" s="94"/>
      <c r="AI173" s="94"/>
      <c r="AJ173" s="94"/>
      <c r="AK173" s="94"/>
      <c r="AL173" s="94"/>
      <c r="AM173" s="94"/>
      <c r="AN173" s="94"/>
    </row>
    <row r="174" spans="1:40" ht="15" customHeight="1" x14ac:dyDescent="0.25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  <c r="AK174" s="94"/>
      <c r="AL174" s="94"/>
      <c r="AM174" s="94"/>
      <c r="AN174" s="94"/>
    </row>
    <row r="175" spans="1:40" ht="15" customHeight="1" x14ac:dyDescent="0.25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  <c r="AG175" s="94"/>
      <c r="AH175" s="94"/>
      <c r="AI175" s="94"/>
      <c r="AJ175" s="94"/>
      <c r="AK175" s="94"/>
      <c r="AL175" s="94"/>
      <c r="AM175" s="94"/>
      <c r="AN175" s="94"/>
    </row>
    <row r="176" spans="1:40" ht="15" customHeight="1" x14ac:dyDescent="0.25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  <c r="AG176" s="94"/>
      <c r="AH176" s="94"/>
      <c r="AI176" s="94"/>
      <c r="AJ176" s="94"/>
      <c r="AK176" s="94"/>
      <c r="AL176" s="94"/>
      <c r="AM176" s="94"/>
      <c r="AN176" s="94"/>
    </row>
    <row r="177" spans="1:40" ht="15" customHeight="1" x14ac:dyDescent="0.25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  <c r="AG177" s="94"/>
      <c r="AH177" s="94"/>
      <c r="AI177" s="94"/>
      <c r="AJ177" s="94"/>
      <c r="AK177" s="94"/>
      <c r="AL177" s="94"/>
      <c r="AM177" s="94"/>
      <c r="AN177" s="94"/>
    </row>
    <row r="178" spans="1:40" ht="15" customHeight="1" x14ac:dyDescent="0.25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  <c r="AG178" s="94"/>
      <c r="AH178" s="94"/>
      <c r="AI178" s="94"/>
      <c r="AJ178" s="94"/>
      <c r="AK178" s="94"/>
      <c r="AL178" s="94"/>
      <c r="AM178" s="94"/>
      <c r="AN178" s="94"/>
    </row>
    <row r="179" spans="1:40" ht="15" customHeight="1" x14ac:dyDescent="0.25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  <c r="AG179" s="94"/>
      <c r="AH179" s="94"/>
      <c r="AI179" s="94"/>
      <c r="AJ179" s="94"/>
      <c r="AK179" s="94"/>
      <c r="AL179" s="94"/>
      <c r="AM179" s="94"/>
      <c r="AN179" s="94"/>
    </row>
    <row r="180" spans="1:40" ht="15" customHeight="1" x14ac:dyDescent="0.25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  <c r="AH180" s="94"/>
      <c r="AI180" s="94"/>
      <c r="AJ180" s="94"/>
      <c r="AK180" s="94"/>
      <c r="AL180" s="94"/>
      <c r="AM180" s="94"/>
      <c r="AN180" s="94"/>
    </row>
    <row r="181" spans="1:40" ht="15" customHeight="1" x14ac:dyDescent="0.25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  <c r="AH181" s="94"/>
      <c r="AI181" s="94"/>
      <c r="AJ181" s="94"/>
      <c r="AK181" s="94"/>
      <c r="AL181" s="94"/>
      <c r="AM181" s="94"/>
      <c r="AN181" s="94"/>
    </row>
    <row r="182" spans="1:40" ht="15" customHeight="1" x14ac:dyDescent="0.25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  <c r="AG182" s="94"/>
      <c r="AH182" s="94"/>
      <c r="AI182" s="94"/>
      <c r="AJ182" s="94"/>
      <c r="AK182" s="94"/>
      <c r="AL182" s="94"/>
      <c r="AM182" s="94"/>
      <c r="AN182" s="94"/>
    </row>
    <row r="183" spans="1:40" ht="15" customHeight="1" x14ac:dyDescent="0.25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  <c r="AG183" s="94"/>
      <c r="AH183" s="94"/>
      <c r="AI183" s="94"/>
      <c r="AJ183" s="94"/>
      <c r="AK183" s="94"/>
      <c r="AL183" s="94"/>
      <c r="AM183" s="94"/>
      <c r="AN183" s="94"/>
    </row>
    <row r="184" spans="1:40" ht="15" customHeight="1" x14ac:dyDescent="0.25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4"/>
      <c r="AH184" s="94"/>
      <c r="AI184" s="94"/>
      <c r="AJ184" s="94"/>
      <c r="AK184" s="94"/>
      <c r="AL184" s="94"/>
      <c r="AM184" s="94"/>
      <c r="AN184" s="94"/>
    </row>
    <row r="185" spans="1:40" ht="15" customHeight="1" x14ac:dyDescent="0.25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  <c r="AG185" s="94"/>
      <c r="AH185" s="94"/>
      <c r="AI185" s="94"/>
      <c r="AJ185" s="94"/>
      <c r="AK185" s="94"/>
      <c r="AL185" s="94"/>
      <c r="AM185" s="94"/>
      <c r="AN185" s="94"/>
    </row>
    <row r="186" spans="1:40" ht="15" customHeight="1" x14ac:dyDescent="0.25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  <c r="AG186" s="94"/>
      <c r="AH186" s="94"/>
      <c r="AI186" s="94"/>
      <c r="AJ186" s="94"/>
      <c r="AK186" s="94"/>
      <c r="AL186" s="94"/>
      <c r="AM186" s="94"/>
      <c r="AN186" s="94"/>
    </row>
    <row r="187" spans="1:40" ht="15" customHeight="1" x14ac:dyDescent="0.25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  <c r="AH187" s="94"/>
      <c r="AI187" s="94"/>
      <c r="AJ187" s="94"/>
      <c r="AK187" s="94"/>
      <c r="AL187" s="94"/>
      <c r="AM187" s="94"/>
      <c r="AN187" s="94"/>
    </row>
    <row r="188" spans="1:40" ht="15" customHeight="1" x14ac:dyDescent="0.25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  <c r="AG188" s="94"/>
      <c r="AH188" s="94"/>
      <c r="AI188" s="94"/>
      <c r="AJ188" s="94"/>
      <c r="AK188" s="94"/>
      <c r="AL188" s="94"/>
      <c r="AM188" s="94"/>
      <c r="AN188" s="94"/>
    </row>
    <row r="189" spans="1:40" ht="15" customHeight="1" x14ac:dyDescent="0.25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  <c r="AG189" s="94"/>
      <c r="AH189" s="94"/>
      <c r="AI189" s="94"/>
      <c r="AJ189" s="94"/>
      <c r="AK189" s="94"/>
      <c r="AL189" s="94"/>
      <c r="AM189" s="94"/>
      <c r="AN189" s="94"/>
    </row>
    <row r="190" spans="1:40" ht="15" customHeight="1" x14ac:dyDescent="0.25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  <c r="AK190" s="94"/>
      <c r="AL190" s="94"/>
      <c r="AM190" s="94"/>
      <c r="AN190" s="94"/>
    </row>
    <row r="191" spans="1:40" ht="15" customHeight="1" x14ac:dyDescent="0.25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  <c r="AG191" s="94"/>
      <c r="AH191" s="94"/>
      <c r="AI191" s="94"/>
      <c r="AJ191" s="94"/>
      <c r="AK191" s="94"/>
      <c r="AL191" s="94"/>
      <c r="AM191" s="94"/>
      <c r="AN191" s="94"/>
    </row>
    <row r="192" spans="1:40" ht="15" customHeight="1" x14ac:dyDescent="0.25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  <c r="AB192" s="94"/>
      <c r="AC192" s="94"/>
      <c r="AD192" s="94"/>
      <c r="AE192" s="94"/>
      <c r="AF192" s="94"/>
      <c r="AG192" s="94"/>
      <c r="AH192" s="94"/>
      <c r="AI192" s="94"/>
      <c r="AJ192" s="94"/>
      <c r="AK192" s="94"/>
      <c r="AL192" s="94"/>
      <c r="AM192" s="94"/>
      <c r="AN192" s="94"/>
    </row>
    <row r="193" spans="1:40" ht="15" customHeight="1" x14ac:dyDescent="0.25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  <c r="AB193" s="94"/>
      <c r="AC193" s="94"/>
      <c r="AD193" s="94"/>
      <c r="AE193" s="94"/>
      <c r="AF193" s="94"/>
      <c r="AG193" s="94"/>
      <c r="AH193" s="94"/>
      <c r="AI193" s="94"/>
      <c r="AJ193" s="94"/>
      <c r="AK193" s="94"/>
      <c r="AL193" s="94"/>
      <c r="AM193" s="94"/>
      <c r="AN193" s="94"/>
    </row>
    <row r="194" spans="1:40" ht="15" customHeight="1" x14ac:dyDescent="0.25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  <c r="AB194" s="94"/>
      <c r="AC194" s="94"/>
      <c r="AD194" s="94"/>
      <c r="AE194" s="94"/>
      <c r="AF194" s="94"/>
      <c r="AG194" s="94"/>
      <c r="AH194" s="94"/>
      <c r="AI194" s="94"/>
      <c r="AJ194" s="94"/>
      <c r="AK194" s="94"/>
      <c r="AL194" s="94"/>
      <c r="AM194" s="94"/>
      <c r="AN194" s="94"/>
    </row>
    <row r="195" spans="1:40" ht="15" customHeight="1" x14ac:dyDescent="0.25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  <c r="AG195" s="94"/>
      <c r="AH195" s="94"/>
      <c r="AI195" s="94"/>
      <c r="AJ195" s="94"/>
      <c r="AK195" s="94"/>
      <c r="AL195" s="94"/>
      <c r="AM195" s="94"/>
      <c r="AN195" s="94"/>
    </row>
    <row r="196" spans="1:40" ht="15" customHeight="1" x14ac:dyDescent="0.25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  <c r="AG196" s="94"/>
      <c r="AH196" s="94"/>
      <c r="AI196" s="94"/>
      <c r="AJ196" s="94"/>
      <c r="AK196" s="94"/>
      <c r="AL196" s="94"/>
      <c r="AM196" s="94"/>
      <c r="AN196" s="94"/>
    </row>
    <row r="197" spans="1:40" ht="15" customHeight="1" x14ac:dyDescent="0.25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  <c r="AB197" s="94"/>
      <c r="AC197" s="94"/>
      <c r="AD197" s="94"/>
      <c r="AE197" s="94"/>
      <c r="AF197" s="94"/>
      <c r="AG197" s="94"/>
      <c r="AH197" s="94"/>
      <c r="AI197" s="94"/>
      <c r="AJ197" s="94"/>
      <c r="AK197" s="94"/>
      <c r="AL197" s="94"/>
      <c r="AM197" s="94"/>
      <c r="AN197" s="94"/>
    </row>
    <row r="198" spans="1:40" ht="15" customHeight="1" x14ac:dyDescent="0.25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  <c r="AG198" s="94"/>
      <c r="AH198" s="94"/>
      <c r="AI198" s="94"/>
      <c r="AJ198" s="94"/>
      <c r="AK198" s="94"/>
      <c r="AL198" s="94"/>
      <c r="AM198" s="94"/>
      <c r="AN198" s="94"/>
    </row>
    <row r="199" spans="1:40" ht="15" customHeight="1" x14ac:dyDescent="0.25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  <c r="AI199" s="94"/>
      <c r="AJ199" s="94"/>
      <c r="AK199" s="94"/>
      <c r="AL199" s="94"/>
      <c r="AM199" s="94"/>
      <c r="AN199" s="94"/>
    </row>
  </sheetData>
  <conditionalFormatting sqref="AE6:AE34 AJ6:AJ139">
    <cfRule type="colorScale" priority="2">
      <colorScale>
        <cfvo type="num" val="0"/>
        <cfvo type="num" val="5.5"/>
        <cfvo type="num" val="10"/>
        <color rgb="FFFEF0F1"/>
        <color rgb="FFFAF5E6"/>
        <color rgb="FFEAFAF1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⚙ Parámetros</vt:lpstr>
      <vt:lpstr>📋 Evaluación</vt:lpstr>
      <vt:lpstr>📊 Cartera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Joan Valverde</cp:lastModifiedBy>
  <cp:revision>0</cp:revision>
  <dcterms:created xsi:type="dcterms:W3CDTF">2026-05-21T10:49:35Z</dcterms:created>
  <dcterms:modified xsi:type="dcterms:W3CDTF">2026-06-12T09:22:25Z</dcterms:modified>
  <dc:language>en-US</dc:language>
</cp:coreProperties>
</file>